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nager8\comunes\importacion\api_cluster\"/>
    </mc:Choice>
  </mc:AlternateContent>
  <xr:revisionPtr revIDLastSave="0" documentId="13_ncr:1_{8C04DFB1-BAF0-485D-99E4-F668EAAB9607}" xr6:coauthVersionLast="47" xr6:coauthVersionMax="47" xr10:uidLastSave="{00000000-0000-0000-0000-000000000000}"/>
  <bookViews>
    <workbookView xWindow="-108" yWindow="-108" windowWidth="23256" windowHeight="12576" xr2:uid="{F0B3DEB9-4C62-4D57-84BC-B1B8A40A9B47}"/>
  </bookViews>
  <sheets>
    <sheet name="CARTOLA" sheetId="1" r:id="rId1"/>
    <sheet name="CRITERIOS DE CLASIFICACION " sheetId="2" r:id="rId2"/>
  </sheets>
  <externalReferences>
    <externalReference r:id="rId3"/>
  </externalReferences>
  <definedNames>
    <definedName name="_xlnm._FilterDatabase" localSheetId="0" hidden="1">CARTOLA!$A$1:$L$186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M26" i="2"/>
  <c r="M25" i="2"/>
  <c r="C24" i="2"/>
  <c r="D24" i="2" s="1"/>
  <c r="L23" i="2"/>
  <c r="K23" i="2"/>
  <c r="J23" i="2"/>
  <c r="I23" i="2"/>
  <c r="H23" i="2"/>
  <c r="G23" i="2"/>
  <c r="F23" i="2"/>
  <c r="E23" i="2"/>
  <c r="D23" i="2"/>
  <c r="C23" i="2"/>
  <c r="B23" i="2"/>
  <c r="M22" i="2"/>
  <c r="M21" i="2"/>
  <c r="L20" i="2"/>
  <c r="K20" i="2"/>
  <c r="J20" i="2"/>
  <c r="I20" i="2"/>
  <c r="H20" i="2"/>
  <c r="G20" i="2"/>
  <c r="F20" i="2"/>
  <c r="E20" i="2"/>
  <c r="D20" i="2"/>
  <c r="C20" i="2"/>
  <c r="B20" i="2"/>
  <c r="L19" i="2"/>
  <c r="K19" i="2"/>
  <c r="J19" i="2"/>
  <c r="I19" i="2"/>
  <c r="H19" i="2"/>
  <c r="G19" i="2"/>
  <c r="F19" i="2"/>
  <c r="E19" i="2"/>
  <c r="D19" i="2"/>
  <c r="C19" i="2"/>
  <c r="B19" i="2"/>
  <c r="B18" i="2"/>
  <c r="C18" i="2" s="1"/>
  <c r="D18" i="2" s="1"/>
  <c r="E18" i="2" s="1"/>
  <c r="F18" i="2" s="1"/>
  <c r="G18" i="2" s="1"/>
  <c r="H18" i="2" s="1"/>
  <c r="I18" i="2" s="1"/>
  <c r="J18" i="2" s="1"/>
  <c r="K18" i="2" s="1"/>
  <c r="L18" i="2" s="1"/>
  <c r="L17" i="2"/>
  <c r="K17" i="2"/>
  <c r="J17" i="2"/>
  <c r="I17" i="2"/>
  <c r="H17" i="2"/>
  <c r="G17" i="2"/>
  <c r="F17" i="2"/>
  <c r="E17" i="2"/>
  <c r="D17" i="2"/>
  <c r="C17" i="2"/>
  <c r="B17" i="2"/>
  <c r="C15" i="2"/>
  <c r="M14" i="2"/>
  <c r="M13" i="2"/>
  <c r="M11" i="2"/>
  <c r="M10" i="2"/>
  <c r="M9" i="2"/>
  <c r="L8" i="2"/>
  <c r="L16" i="2" s="1"/>
  <c r="K8" i="2"/>
  <c r="K12" i="2" s="1"/>
  <c r="J8" i="2"/>
  <c r="J16" i="2" s="1"/>
  <c r="I8" i="2"/>
  <c r="I16" i="2" s="1"/>
  <c r="H8" i="2"/>
  <c r="H16" i="2" s="1"/>
  <c r="G8" i="2"/>
  <c r="G16" i="2" s="1"/>
  <c r="F8" i="2"/>
  <c r="F16" i="2" s="1"/>
  <c r="E8" i="2"/>
  <c r="E12" i="2" s="1"/>
  <c r="D8" i="2"/>
  <c r="D16" i="2" s="1"/>
  <c r="C8" i="2"/>
  <c r="C16" i="2" s="1"/>
  <c r="B8" i="2"/>
  <c r="B16" i="2" s="1"/>
  <c r="M7" i="2"/>
  <c r="C12" i="2" l="1"/>
  <c r="G12" i="2"/>
  <c r="F12" i="2"/>
  <c r="M19" i="2"/>
  <c r="M23" i="2"/>
  <c r="M20" i="2"/>
  <c r="M17" i="2"/>
  <c r="B27" i="2"/>
  <c r="C27" i="2"/>
  <c r="C29" i="2" s="1"/>
  <c r="E24" i="2"/>
  <c r="F24" i="2" s="1"/>
  <c r="G24" i="2" s="1"/>
  <c r="H24" i="2" s="1"/>
  <c r="I24" i="2" s="1"/>
  <c r="J24" i="2" s="1"/>
  <c r="K24" i="2" s="1"/>
  <c r="L24" i="2" s="1"/>
  <c r="M24" i="2"/>
  <c r="M8" i="2"/>
  <c r="H12" i="2"/>
  <c r="E16" i="2"/>
  <c r="I12" i="2"/>
  <c r="D15" i="2"/>
  <c r="M18" i="2"/>
  <c r="B12" i="2"/>
  <c r="J12" i="2"/>
  <c r="D12" i="2"/>
  <c r="L12" i="2"/>
  <c r="K16" i="2"/>
  <c r="M16" i="2" l="1"/>
  <c r="D27" i="2"/>
  <c r="D29" i="2" s="1"/>
  <c r="E15" i="2"/>
  <c r="M12" i="2"/>
  <c r="B29" i="2"/>
  <c r="B31" i="2" l="1"/>
  <c r="C31" i="2" s="1"/>
  <c r="D31" i="2" s="1"/>
  <c r="E27" i="2"/>
  <c r="F15" i="2"/>
  <c r="G15" i="2" l="1"/>
  <c r="F27" i="2"/>
  <c r="F29" i="2" s="1"/>
  <c r="E29" i="2"/>
  <c r="E31" i="2" s="1"/>
  <c r="F31" i="2" l="1"/>
  <c r="H15" i="2"/>
  <c r="G27" i="2"/>
  <c r="G29" i="2" l="1"/>
  <c r="I15" i="2"/>
  <c r="H27" i="2"/>
  <c r="H29" i="2" s="1"/>
  <c r="I27" i="2" l="1"/>
  <c r="J15" i="2"/>
  <c r="G31" i="2"/>
  <c r="H31" i="2" s="1"/>
  <c r="J27" i="2" l="1"/>
  <c r="J29" i="2" s="1"/>
  <c r="K15" i="2"/>
  <c r="I29" i="2"/>
  <c r="K27" i="2" l="1"/>
  <c r="K29" i="2" s="1"/>
  <c r="L15" i="2"/>
  <c r="I31" i="2"/>
  <c r="J31" i="2" s="1"/>
  <c r="K31" i="2" l="1"/>
  <c r="L27" i="2"/>
  <c r="M15" i="2"/>
  <c r="L29" i="2" l="1"/>
  <c r="M29" i="2" s="1"/>
  <c r="M27" i="2"/>
  <c r="L31" i="2" l="1"/>
</calcChain>
</file>

<file path=xl/sharedStrings.xml><?xml version="1.0" encoding="utf-8"?>
<sst xmlns="http://schemas.openxmlformats.org/spreadsheetml/2006/main" count="3141" uniqueCount="592">
  <si>
    <t>Fecha</t>
  </si>
  <si>
    <t>Descripción</t>
  </si>
  <si>
    <t>Canal o Sucursal</t>
  </si>
  <si>
    <t>Nro. Docto.</t>
  </si>
  <si>
    <t>Cargos (CLP)</t>
  </si>
  <si>
    <t>Abonos (CLP)</t>
  </si>
  <si>
    <t>Saldo (CLP)</t>
  </si>
  <si>
    <t>30/06/2025</t>
  </si>
  <si>
    <t>Transferencia Desde Linea De Credito</t>
  </si>
  <si>
    <t>Torre Las Condes</t>
  </si>
  <si>
    <t>Traspaso De: Constructora Sepco S.a</t>
  </si>
  <si>
    <t>Internet</t>
  </si>
  <si>
    <t>Traspaso De: Sociedad Comercial Del Austro Y Cia Ltda</t>
  </si>
  <si>
    <t>Traspaso De: Ducci Y Swett Limitada</t>
  </si>
  <si>
    <t>Traspaso De: Cristopher Doren Sepulveda</t>
  </si>
  <si>
    <t>Traspaso De: Rojas Vega Javier Jaime</t>
  </si>
  <si>
    <t>Traspaso A: Adv Asesorias Spa</t>
  </si>
  <si>
    <t>Pago: Proveedores 0768300143</t>
  </si>
  <si>
    <t>Oficina Central</t>
  </si>
  <si>
    <t>Provision: Proveedores 00001</t>
  </si>
  <si>
    <t>Traspaso De: Vivero Sofaniv Limitada</t>
  </si>
  <si>
    <t>Pago: Proveedores 0798676601</t>
  </si>
  <si>
    <t>Cargo Seguro Proteccion Bancaria</t>
  </si>
  <si>
    <t>27/06/2025</t>
  </si>
  <si>
    <t>Traspaso A: Demarka S.a.</t>
  </si>
  <si>
    <t>Traspaso De: Claudio Enrique Diaz Anabalon</t>
  </si>
  <si>
    <t>Provision: De Sueldos 00022</t>
  </si>
  <si>
    <t>Provision: De Sueldos 00000</t>
  </si>
  <si>
    <t>Pago En Servipag.com*</t>
  </si>
  <si>
    <t>Traspaso De: Mobiquos Serv Integr De Informatica Ltda</t>
  </si>
  <si>
    <t>Traspaso De: Virtualpos Spa</t>
  </si>
  <si>
    <t>Pago: Proveedores 0769368906</t>
  </si>
  <si>
    <t>Pago: Proveedores 0773130604</t>
  </si>
  <si>
    <t>Pago: Proveedores 076691442k</t>
  </si>
  <si>
    <t>Pago: Proveedores 0776860077</t>
  </si>
  <si>
    <t>Pago: Proveedores 077481650k</t>
  </si>
  <si>
    <t>Traspaso De: Raul Hernan Alcaino Moreno</t>
  </si>
  <si>
    <t>Traspaso De: Maria Jose Bascunan Espineira</t>
  </si>
  <si>
    <t>Traspaso De: Patricio Felix Meza Flores Eirl</t>
  </si>
  <si>
    <t>Traspaso De: Chocolate Brussels Spa</t>
  </si>
  <si>
    <t>26/06/2025</t>
  </si>
  <si>
    <t>Dep.cheq.otros Bancos</t>
  </si>
  <si>
    <t>Oficina Ahumada</t>
  </si>
  <si>
    <t>4725471</t>
  </si>
  <si>
    <t>Traspaso De: Agrobox S A</t>
  </si>
  <si>
    <t>Pago: Facturas 0814482006</t>
  </si>
  <si>
    <t>Traspaso De: Comercializadora Orlando Ivan Gonzalez Jeria E I R</t>
  </si>
  <si>
    <t>25/06/2025</t>
  </si>
  <si>
    <t>Amortizacion A Linea De Credito</t>
  </si>
  <si>
    <t>Pago: Proveedores 0970040005</t>
  </si>
  <si>
    <t>Traspaso De: Reciclajes Ecologicos De Chile Limitada</t>
  </si>
  <si>
    <t>Traspaso De: Distribuidora Recotoner Spa</t>
  </si>
  <si>
    <t>Traspaso A: Cartograf Spa</t>
  </si>
  <si>
    <t>Traspaso De: Vergara Zuniga Manuel Eduardo</t>
  </si>
  <si>
    <t>Traspaso A: Alas Spa</t>
  </si>
  <si>
    <t>Traspaso De: Comercializadora Y Distribuidora Cg Impr</t>
  </si>
  <si>
    <t>Traspaso De: Servicios, Mantencion Y Transporte Limitada</t>
  </si>
  <si>
    <t>Traspaso De: 3cycle Spa</t>
  </si>
  <si>
    <t>24/06/2025</t>
  </si>
  <si>
    <t>Pago De Creditos M/n</t>
  </si>
  <si>
    <t>Traspaso A: Beneficiario 0107026355</t>
  </si>
  <si>
    <t>Traspaso De: Bohm Breuer Ricardo Miguel</t>
  </si>
  <si>
    <t>23/06/2025</t>
  </si>
  <si>
    <t>Traspaso De: Actividades De Asesoria Comercial Ltda</t>
  </si>
  <si>
    <t>Traspaso De: Felipe Guillermo Potthoff Mardones</t>
  </si>
  <si>
    <t>Traspaso De: Servicios De Limpeza Y Fu Migacion Patricia Veroni</t>
  </si>
  <si>
    <t>Traspaso De: Homevan Services Spa</t>
  </si>
  <si>
    <t>Traspaso De: Sepulveda Munoz Luis Roberto</t>
  </si>
  <si>
    <t>Traspaso De: Soc Comer Y Consult De Soluciones Digita</t>
  </si>
  <si>
    <t>App-traspaso De: Sociedad Medica S Y B Spa</t>
  </si>
  <si>
    <t>19/06/2025</t>
  </si>
  <si>
    <t>Providencia</t>
  </si>
  <si>
    <t>2231485</t>
  </si>
  <si>
    <t>Traspaso De: Easton Spa</t>
  </si>
  <si>
    <t>Traspaso De: Transportes Aereo Maritimo Terrestre Limitada</t>
  </si>
  <si>
    <t>Pago En Sii.cl*</t>
  </si>
  <si>
    <t>Pago: Proveedores 0965429409</t>
  </si>
  <si>
    <t>Pago: Proveedores 0968796208</t>
  </si>
  <si>
    <t>18/06/2025</t>
  </si>
  <si>
    <t>Traspaso De: Instituto Hijas De Nuestra Senora De La Miser</t>
  </si>
  <si>
    <t>Traspaso De: Confecciones Sonia Melej Y Compani</t>
  </si>
  <si>
    <t>Deposito En Efectivo</t>
  </si>
  <si>
    <t>Porvenir</t>
  </si>
  <si>
    <t>9120083</t>
  </si>
  <si>
    <t>Traspaso A: Agua Family Spa</t>
  </si>
  <si>
    <t>17/06/2025</t>
  </si>
  <si>
    <t>Comision Mensual Plan Ctacte Pyme</t>
  </si>
  <si>
    <t>Traspaso De: Importadora Y Distribuidora Tress</t>
  </si>
  <si>
    <t>Traspaso De: Rolando Mauricio Rojas Agurto</t>
  </si>
  <si>
    <t>Traspaso De: Felipe Victor Armijo Ceballos</t>
  </si>
  <si>
    <t>Traspaso De: Arriendos Y Administracio Nes Limitada</t>
  </si>
  <si>
    <t>Traspaso De: Minera San Pedro S.a.</t>
  </si>
  <si>
    <t>Traspaso De: Fernando Andres Besser Mahuzier</t>
  </si>
  <si>
    <t>16/06/2025</t>
  </si>
  <si>
    <t>Traspaso De: Comercial E Inversiones Cervecera Del Puerto</t>
  </si>
  <si>
    <t>Traspaso De: Distrib De Productos Graficos Mas Sa</t>
  </si>
  <si>
    <t>Traspaso De: Servicios Vortex Spa</t>
  </si>
  <si>
    <t>Traspaso De: Inversiones Y Desarrollo Matrix Spa</t>
  </si>
  <si>
    <t>Prima Seguro Desgravamen  *</t>
  </si>
  <si>
    <t>Traspaso De: Salar De Pintados S A</t>
  </si>
  <si>
    <t>Traspaso De: Sociedad Informatica Siglo 21 Limitada</t>
  </si>
  <si>
    <t>13/06/2025</t>
  </si>
  <si>
    <t>Traspaso De: Nelson Andres Salazar Pons</t>
  </si>
  <si>
    <t>Traspaso De: Pago Proveedores En Linea</t>
  </si>
  <si>
    <t>Traspaso De: Jure Esguep Ltda</t>
  </si>
  <si>
    <t>Traspaso De: Inks ? Coatings Chile S.a.</t>
  </si>
  <si>
    <t>Pago Instituciones Previsionales</t>
  </si>
  <si>
    <t>Traspaso De: Impresores Integrales Limitada</t>
  </si>
  <si>
    <t>Traspaso De: World Survey Services Sa</t>
  </si>
  <si>
    <t>Traspaso De: Transporte Y Logistica C ? C Limit</t>
  </si>
  <si>
    <t>12/06/2025</t>
  </si>
  <si>
    <t>4957047</t>
  </si>
  <si>
    <t>Pago Automatico Tarjeta De Credito</t>
  </si>
  <si>
    <t>Provision: Proveedores 00000</t>
  </si>
  <si>
    <t>Pago: Proveedores 0816687004</t>
  </si>
  <si>
    <t>11/06/2025</t>
  </si>
  <si>
    <t>Plaza Pedro De Valdivia</t>
  </si>
  <si>
    <t>3361668</t>
  </si>
  <si>
    <t>Traspaso De: Comercial Mpg Spa</t>
  </si>
  <si>
    <t>Traspaso De: Elizabeth Carolina Ara</t>
  </si>
  <si>
    <t>Traspaso De: Distribuidora Victoria Spa</t>
  </si>
  <si>
    <t>Traspaso De: Abraham Zedan E Hijos Limitada</t>
  </si>
  <si>
    <t>Traspaso De: Rocio Nicole Salazar Menares</t>
  </si>
  <si>
    <t>10/06/2025</t>
  </si>
  <si>
    <t>Traspaso De: Digimaster Spa</t>
  </si>
  <si>
    <t>Traspaso De: Comercial Inarcon Spa</t>
  </si>
  <si>
    <t>Traspaso A: Ascarcon Ltda</t>
  </si>
  <si>
    <t>Pago: Proveedores 0764625005</t>
  </si>
  <si>
    <t>Traspaso De: Comercializadora San Juan Limitada</t>
  </si>
  <si>
    <t>Traspaso A: Inversiones Apolo Spa</t>
  </si>
  <si>
    <t>09/06/2025</t>
  </si>
  <si>
    <t>Traspaso De: Gestion Y Servicios Conta Bles Y Tributarios Limit</t>
  </si>
  <si>
    <t>Traspaso De: Rodolfo Esteban Martinez Machuca</t>
  </si>
  <si>
    <t>Traspaso De: Inversiones E Inmobiliaria Rasa Spa</t>
  </si>
  <si>
    <t>06/06/2025</t>
  </si>
  <si>
    <t>Pago: Proveedores 0761638343</t>
  </si>
  <si>
    <t>Pago: Proveedores 0933600009</t>
  </si>
  <si>
    <t>Pago: Proveedores 0779799409</t>
  </si>
  <si>
    <t>Traspaso A: Ups De Chile Ltda.</t>
  </si>
  <si>
    <t>Traspaso De: Corporacion Educacional San Benildo</t>
  </si>
  <si>
    <t>Traspaso A: Etimar Spa</t>
  </si>
  <si>
    <t>Traspaso A: Dvc Computacion Ltda</t>
  </si>
  <si>
    <t>05/06/2025</t>
  </si>
  <si>
    <t>Comision Servicio De Pagos</t>
  </si>
  <si>
    <t>Traspaso De: A Professional Aviation Services Chile S</t>
  </si>
  <si>
    <t>Traspaso De: Corporacion Educacional San Jose De La Famili</t>
  </si>
  <si>
    <t>Traspaso De: Acevedo Y Compania Spa</t>
  </si>
  <si>
    <t>04/06/2025</t>
  </si>
  <si>
    <t>Traspaso A: Inversiones Isla Kent Spa</t>
  </si>
  <si>
    <t>Traspaso A: Inmobiliaria Monjitas Sa</t>
  </si>
  <si>
    <t>Traspaso A: Malsch Y Compania S.a.</t>
  </si>
  <si>
    <t>03/06/2025</t>
  </si>
  <si>
    <t>Intereses Linea De Credito</t>
  </si>
  <si>
    <t>Impuesto Linea De Credito</t>
  </si>
  <si>
    <t>Pago: Proveedores 0965569405</t>
  </si>
  <si>
    <t>Traspaso De: Veronica Silvia Cisternas Aguirre</t>
  </si>
  <si>
    <t>Traspaso De: Juan Pablo Arcos Valenzuela</t>
  </si>
  <si>
    <t>02/06/2025</t>
  </si>
  <si>
    <t>Traspaso De: Luis Gonzalo Manzano Donoso</t>
  </si>
  <si>
    <t>Traspaso De: Maria Carolina Doren</t>
  </si>
  <si>
    <t>Pago: Proveedores 0769396942</t>
  </si>
  <si>
    <t>Traspaso De: Bluemedical Spa</t>
  </si>
  <si>
    <t>Traspaso De: Ingetrol Corporativo Limitada</t>
  </si>
  <si>
    <t>Traspaso De: Revista Mundo Nuevo Limit Ada</t>
  </si>
  <si>
    <t>Traspaso De: Imp Y Comercializadora Ksk Group Spa</t>
  </si>
  <si>
    <t>Traspaso De: Asmc Project Spa</t>
  </si>
  <si>
    <t>CLASIFICACION</t>
  </si>
  <si>
    <t>INFORME FLUJO CAJA</t>
  </si>
  <si>
    <t>FECHA DE VENCIMIENTO: 01/08/2025 hasta 30/06/2026</t>
  </si>
  <si>
    <t>EMPRESA: RECICLAJES ECOLOGICOS DE CHILE LIMITADA</t>
  </si>
  <si>
    <t>DETALLES</t>
  </si>
  <si>
    <t>AGO-2025</t>
  </si>
  <si>
    <t>SEP-2025</t>
  </si>
  <si>
    <t>OCT-2025</t>
  </si>
  <si>
    <t>NOV-2025</t>
  </si>
  <si>
    <t>DIC-2025</t>
  </si>
  <si>
    <t>ENE-2026</t>
  </si>
  <si>
    <t>FEB-2026</t>
  </si>
  <si>
    <t>MAR-2026</t>
  </si>
  <si>
    <t>ABR-2026</t>
  </si>
  <si>
    <t>MAY-2026</t>
  </si>
  <si>
    <t>JUN-2026</t>
  </si>
  <si>
    <t>TOTALES</t>
  </si>
  <si>
    <t>INGRESOS</t>
  </si>
  <si>
    <t>SALDO INICIAL</t>
  </si>
  <si>
    <t xml:space="preserve">1.01.05.01 - Facturas por cobrar Nacional- FLUJO </t>
  </si>
  <si>
    <t xml:space="preserve">Financiamiento Externo </t>
  </si>
  <si>
    <t>TOTAL INGRESOS</t>
  </si>
  <si>
    <t>EGRESOS</t>
  </si>
  <si>
    <t xml:space="preserve">2.01.07.01 - Proveedores Nacionales Fijos </t>
  </si>
  <si>
    <t xml:space="preserve">2.01.07.01 - Proveedores Nacionales existencias </t>
  </si>
  <si>
    <t>2.01.08.01 - Remuneraciones por Pagar</t>
  </si>
  <si>
    <t>2.01.07.01 - Proveedores Arrdo  Oficina , estacionamiento ,Kame</t>
  </si>
  <si>
    <t xml:space="preserve">Impuestos </t>
  </si>
  <si>
    <t>Imposiciones</t>
  </si>
  <si>
    <t xml:space="preserve">Honorarios </t>
  </si>
  <si>
    <t>Pago Tarjeta de crédito</t>
  </si>
  <si>
    <t xml:space="preserve">Crédito Banco de Chile </t>
  </si>
  <si>
    <t>Gastos y comisiones Bancarias ( BANCO CHILE - SECURITY )</t>
  </si>
  <si>
    <t>Bice ( intereses prestamo)</t>
  </si>
  <si>
    <t>TOTAL EGRESOS</t>
  </si>
  <si>
    <t>SUPERHABIT / DÉFICIT</t>
  </si>
  <si>
    <t>SALDO DISPONIBLE</t>
  </si>
  <si>
    <t xml:space="preserve">2.01.07.01 - Proveedores Nacionales </t>
  </si>
  <si>
    <t xml:space="preserve">LINEA DE CREDITO </t>
  </si>
  <si>
    <t xml:space="preserve">Seguros </t>
  </si>
  <si>
    <t>2.01.07.01 - Proveedores Nacionales</t>
  </si>
  <si>
    <t>17/07/2025</t>
  </si>
  <si>
    <t>Pago: Proveedores 0754585005</t>
  </si>
  <si>
    <t>Traspaso De: Fund Educacional Vinculos Para El Manana</t>
  </si>
  <si>
    <t>Traspaso De: Servicont Asociados Spa</t>
  </si>
  <si>
    <t>15/07/2025</t>
  </si>
  <si>
    <t>Traspaso De: Acevedo Pena Patricio Eugenio</t>
  </si>
  <si>
    <t>Traspaso De: Montajes Industriales Tecnoinox Li</t>
  </si>
  <si>
    <t>Traspaso De: Lopez Toledo Raul Enrique</t>
  </si>
  <si>
    <t>Traspaso De: Centro Medico De Procedimientos Ambulato</t>
  </si>
  <si>
    <t>Traspaso De: Com Torre 7 Remodelacion San Borja Com</t>
  </si>
  <si>
    <t>14/07/2025</t>
  </si>
  <si>
    <t>Traspaso De: Tambores Tms Limitada</t>
  </si>
  <si>
    <t>Pago: Proveedores 0762992442</t>
  </si>
  <si>
    <t>Pago: Proveedores 0770051509</t>
  </si>
  <si>
    <t>Traspaso De: Pablo Andres Sepulveda Del Rio</t>
  </si>
  <si>
    <t>11/07/2025</t>
  </si>
  <si>
    <t>Traspaso De: Sociedad Educacional Timonel Limit</t>
  </si>
  <si>
    <t>Traspaso De: Soler Y Palau S.a. De C V Est Per En Chi</t>
  </si>
  <si>
    <t>Traspaso De: Importaciones Y Exportaciones Tecn</t>
  </si>
  <si>
    <t>Pago: Proveedores 0651547776</t>
  </si>
  <si>
    <t>Traspaso De: Promobank Servicios Limitada</t>
  </si>
  <si>
    <t>Traspaso De: Ac Marca Chile Limitada</t>
  </si>
  <si>
    <t>Traspaso De: Fernando Nestor Rebolledo Martinez</t>
  </si>
  <si>
    <t>Traspaso De: Hernan Jesus Flores Toro</t>
  </si>
  <si>
    <t>10/07/2025</t>
  </si>
  <si>
    <t>Traspaso De: Docustore Spa</t>
  </si>
  <si>
    <t>Traspaso De: Comercial E Industrial Cymas Spa</t>
  </si>
  <si>
    <t>Traspaso De: Constructora Gsa Spa</t>
  </si>
  <si>
    <t>La Vega</t>
  </si>
  <si>
    <t>8280906</t>
  </si>
  <si>
    <t>Traspaso De: Isaac Joel Flores Gutierrez</t>
  </si>
  <si>
    <t>Traspaso A: Reciclajes Ecologicos De Chi</t>
  </si>
  <si>
    <t>Traspaso A: Angel Munoz Prado</t>
  </si>
  <si>
    <t>09/07/2025</t>
  </si>
  <si>
    <t>Traspaso De: Inversiones Pahiso Spa</t>
  </si>
  <si>
    <t>Traspaso De: Magaly Del Pilar Casti</t>
  </si>
  <si>
    <t>Traspaso De: Fabrica De Cocinas Yunque Limitada</t>
  </si>
  <si>
    <t>08/07/2025</t>
  </si>
  <si>
    <t>Traspaso De: Dismatel Spa</t>
  </si>
  <si>
    <t>Traspaso De: Mario Arturo Mendez Concha</t>
  </si>
  <si>
    <t>Traspaso De: Rodrigo Antonio Fuente</t>
  </si>
  <si>
    <t>07/07/2025</t>
  </si>
  <si>
    <t>Pago: Proveedores 0797197300</t>
  </si>
  <si>
    <t>Traspaso De: Club Hipico De Santiago S A Club Hipi</t>
  </si>
  <si>
    <t>Traspaso De: Autocred Spa</t>
  </si>
  <si>
    <t>04/07/2025</t>
  </si>
  <si>
    <t>Traspaso De: Cooperativa De Ahorro Y Credito Santa Ines Li</t>
  </si>
  <si>
    <t>Traspaso De: Angel Esteban Mu Oz Prado</t>
  </si>
  <si>
    <t>Traspaso De: Olga Cristina Miranda Pacheco</t>
  </si>
  <si>
    <t>Traspaso De: Eugenia Soledad Perez</t>
  </si>
  <si>
    <t>Traspaso A: Anyi Sevilla</t>
  </si>
  <si>
    <t>Traspaso De: Tecsis Ingenieria S A</t>
  </si>
  <si>
    <t>Traspaso De: Carlos Enrique Neira Pavez</t>
  </si>
  <si>
    <t>03/07/2025</t>
  </si>
  <si>
    <t>Traspaso De: Marcelo Miguel Poblete Vera</t>
  </si>
  <si>
    <t>Traspaso De: Construcciones Delgado Spa</t>
  </si>
  <si>
    <t>Traspaso De: Cecilia Ines Vera Vera</t>
  </si>
  <si>
    <t>Traspaso De: Munoz Valdivia Felipe Edgardo</t>
  </si>
  <si>
    <t>Traspaso De: Claudio Andres Vega Gonzalez</t>
  </si>
  <si>
    <t>02/07/2025</t>
  </si>
  <si>
    <t>Traspaso De: Eduardo Abarca Espinoza Y Cia Limitada</t>
  </si>
  <si>
    <t>App-traspaso De: Sozalegal Limitada</t>
  </si>
  <si>
    <t>Traspaso De: Arca Viajes Spa</t>
  </si>
  <si>
    <t>Pago: Proveedores 0898536009</t>
  </si>
  <si>
    <t>Traspaso De: Soc Coml Artilec Art Electronicos De Pr</t>
  </si>
  <si>
    <t>Traspaso De: Biesse Italia S A</t>
  </si>
  <si>
    <t>Traspaso De: Cristobal Andres Galec</t>
  </si>
  <si>
    <t>01/07/2025</t>
  </si>
  <si>
    <t>Traspaso De: Coditec Suministros Industriales S</t>
  </si>
  <si>
    <t>Traspaso De: Blitzen Kurier -chile- S.a.</t>
  </si>
  <si>
    <t>Traspaso De: Regina Dolores Varetto</t>
  </si>
  <si>
    <t>Traspaso De: R Y F Hidraulica Limitada</t>
  </si>
  <si>
    <t>Traspaso De: Comercial Zip-pak Chile L Imitada</t>
  </si>
  <si>
    <t>Traspaso De: Jorge Rodrigo Del Pozo Hoppe</t>
  </si>
  <si>
    <t>22/07/2025</t>
  </si>
  <si>
    <t>Pago: Proveedores 0768348731</t>
  </si>
  <si>
    <t>Traspaso De: Comunidad San Isidro Etapa Tres Y Cuatro</t>
  </si>
  <si>
    <t>Traspaso De: Sociedad Odontologica B?b Limitada</t>
  </si>
  <si>
    <t>Traspaso De: Congreg Misionera Siervas Del Espiritu S</t>
  </si>
  <si>
    <t>Traspaso De: Nitidez Pro Spa</t>
  </si>
  <si>
    <t>21/07/2025</t>
  </si>
  <si>
    <t>Traspaso De: Panificadora La Reina Limitada</t>
  </si>
  <si>
    <t>Traspaso De: Fundacion Ciencia Para La Vida</t>
  </si>
  <si>
    <t>Traspaso De: Farias Y Compa#ia Limitada</t>
  </si>
  <si>
    <t>Traspaso De: Sci Ingeneria Limitada</t>
  </si>
  <si>
    <t>Traspaso De: Spartan De Chile Productos Quimicos Limitada</t>
  </si>
  <si>
    <t>18/07/2025</t>
  </si>
  <si>
    <t>Traspaso De: Geinse Ingenieria Sociedad Anonima</t>
  </si>
  <si>
    <t>Traspaso De: Comercial M ? C Limitada</t>
  </si>
  <si>
    <t>Pago: Proveedores 0786349109</t>
  </si>
  <si>
    <t>Pago: Proveedores 0770478499</t>
  </si>
  <si>
    <t>Traspaso De: Satanama Technology Limitada</t>
  </si>
  <si>
    <t>Traspaso De: Maderas Villarica Spa</t>
  </si>
  <si>
    <t>Traspaso A: Imprimax Ltda</t>
  </si>
  <si>
    <t>Pucon (c.s.)</t>
  </si>
  <si>
    <t>4875065</t>
  </si>
  <si>
    <t>31/07/2025</t>
  </si>
  <si>
    <t>Traspaso De: Ritzy Mash Cosmeticos Limitada</t>
  </si>
  <si>
    <t>Traspaso De: Saez Guerrero Gabriel Angel</t>
  </si>
  <si>
    <t>Traspaso De: Sociedad Agricola Huertos Chile Y Compa#</t>
  </si>
  <si>
    <t>Traspaso De: Alas Spa</t>
  </si>
  <si>
    <t>Traspaso De: Xzone Spa</t>
  </si>
  <si>
    <t>Traspaso De: Comercial Esquerre Spa</t>
  </si>
  <si>
    <t>30/07/2025</t>
  </si>
  <si>
    <t>Traspaso De: Air Ocean Cargo Limitada</t>
  </si>
  <si>
    <t>Traspaso De: Lamas Contreras Fernando Luis</t>
  </si>
  <si>
    <t>Provision: De Sueldos 00023</t>
  </si>
  <si>
    <t>29/07/2025</t>
  </si>
  <si>
    <t>Traspaso De: Luis Antonio Guzman Beltran</t>
  </si>
  <si>
    <t>Traspaso De: Mariana Passo .</t>
  </si>
  <si>
    <t>Pago: Proveedores 0763806421</t>
  </si>
  <si>
    <t>28/07/2025</t>
  </si>
  <si>
    <t>Traspaso De: Asturias Y Aragon Inv Y Serv Ltda</t>
  </si>
  <si>
    <t>Traspaso De: Seguridad Y Servicios Informaticos Limitada</t>
  </si>
  <si>
    <t>Traspaso De: Cristian Fabian Valdivia Godoy</t>
  </si>
  <si>
    <t>25/07/2025</t>
  </si>
  <si>
    <t>Traspaso De: Valjup Spa</t>
  </si>
  <si>
    <t>Traspaso De: Jordan Franco Jeraldo Gajardo</t>
  </si>
  <si>
    <t>Traspaso De: Maricel Margarita Cruz Castro</t>
  </si>
  <si>
    <t>24/07/2025</t>
  </si>
  <si>
    <t>Traspaso A: Comercial Vam Offices Supplies Ltda</t>
  </si>
  <si>
    <t>Traspaso De: Quilaleo Chinga Roberto Hernan</t>
  </si>
  <si>
    <t>Traspaso De: Lucy Veronica Aguilera Bruce</t>
  </si>
  <si>
    <t>Traspaso De: Miguel Alejo Arturo Lira Besa</t>
  </si>
  <si>
    <t>Traspaso De: Gazitua Vidal Mario Y Otra Limitada</t>
  </si>
  <si>
    <t>23/07/2025</t>
  </si>
  <si>
    <t>Traspaso De: Sociedad Industrial Y Com Ercial Pablo Navarro Y</t>
  </si>
  <si>
    <t>Traspaso De: Daniel Turkieltaub Abascal</t>
  </si>
  <si>
    <t>Traspaso De: Servicios Profesionales Coases Limitada</t>
  </si>
  <si>
    <t>Traspaso De: Geneprodx Chile Spa</t>
  </si>
  <si>
    <t>29/08/2025</t>
  </si>
  <si>
    <t>Cheque Pagado Por Caja</t>
  </si>
  <si>
    <t>San Bernardo</t>
  </si>
  <si>
    <t>0004364</t>
  </si>
  <si>
    <t>Traspaso De: C Dar Spa</t>
  </si>
  <si>
    <t>28/08/2025</t>
  </si>
  <si>
    <t>Cargo Segun Instruc.</t>
  </si>
  <si>
    <t>Traspaso De: Global Place S.a.</t>
  </si>
  <si>
    <t>Traspaso De: Culinaria Spa</t>
  </si>
  <si>
    <t>Traspaso De: Asesorias En Comercio Exterior Cross Limitada</t>
  </si>
  <si>
    <t>Provision: De Sueldos 00025</t>
  </si>
  <si>
    <t>Traspaso De: Bruno Giov.battista Pesce Alloisio</t>
  </si>
  <si>
    <t>Traspaso A: Comercializadora Nueva Aliada Ltda</t>
  </si>
  <si>
    <t>27/08/2025</t>
  </si>
  <si>
    <t>Traspaso De: Inversiones Mansur Spa</t>
  </si>
  <si>
    <t>Moneda</t>
  </si>
  <si>
    <t>0004363</t>
  </si>
  <si>
    <t>Traspaso De: Sociedad Espaciovet Spa</t>
  </si>
  <si>
    <t>Traspaso De: Fundacion Educ Andalecris De Padre Hurta</t>
  </si>
  <si>
    <t>26/08/2025</t>
  </si>
  <si>
    <t>Traspaso De: Geraldine Andreina Ojeda Ochoa</t>
  </si>
  <si>
    <t>Traspaso De: Rodolfo Gustavo Sierra Baeza</t>
  </si>
  <si>
    <t>Traspaso De: Villanueva Concha Jeannette Del Carmen</t>
  </si>
  <si>
    <t>Traspaso De: Msparts Spa</t>
  </si>
  <si>
    <t>Traspaso A: Inversiones Y Negocios Festao</t>
  </si>
  <si>
    <t>Traspaso De: Abasol Servicios Spa</t>
  </si>
  <si>
    <t>Traspaso De: Consultoria E Inversion Mf Spa</t>
  </si>
  <si>
    <t>Traspaso De: Jaime Arturo Lopez Sotomayor</t>
  </si>
  <si>
    <t>Traspaso De: Vbc Group Spa</t>
  </si>
  <si>
    <t>Traspaso De: Laneria Y Cordoneria Betsabe Caneleo Eirl</t>
  </si>
  <si>
    <t>25/08/2025</t>
  </si>
  <si>
    <t>Traspaso De: Identicard Spa</t>
  </si>
  <si>
    <t>Traspaso De: Inveco Construccion Spa</t>
  </si>
  <si>
    <t>Traspaso De: Investera Spa</t>
  </si>
  <si>
    <t>22/08/2025</t>
  </si>
  <si>
    <t>Traspaso De: A A Comercial Limitada</t>
  </si>
  <si>
    <t>Traspaso De: Educacional Heyddie Limitada</t>
  </si>
  <si>
    <t>Traspaso A: Fedex Express Chile Spa</t>
  </si>
  <si>
    <t>Traspaso De: Escuela Culinaria Frances A S A</t>
  </si>
  <si>
    <t>21/08/2025</t>
  </si>
  <si>
    <t>20/08/2025</t>
  </si>
  <si>
    <t>Traspaso De: Centro Del Alergico Spa</t>
  </si>
  <si>
    <t>Traspaso De: Bielco Constructora S A</t>
  </si>
  <si>
    <t>Pago: Proveedores 0816692008</t>
  </si>
  <si>
    <t>Traspaso De: Mauricio Valdes Bravo</t>
  </si>
  <si>
    <t>19/08/2025</t>
  </si>
  <si>
    <t>Traspaso De: Inversiones La Pitu Spa</t>
  </si>
  <si>
    <t>Traspaso De: Sociedad Comercial E Inve Rsiones Los Alerces Sa</t>
  </si>
  <si>
    <t>Traspaso De: Castro Del Pozo Katherine Andrea</t>
  </si>
  <si>
    <t>Traspaso De: Ivan Cesar Morales Vera</t>
  </si>
  <si>
    <t>Pago: Proveedores 0767803788</t>
  </si>
  <si>
    <t>18/08/2025</t>
  </si>
  <si>
    <t>Traspaso De: Soagri Spa</t>
  </si>
  <si>
    <t>Traspaso De: Tatiana Andrea Gajardo Jana</t>
  </si>
  <si>
    <t>Traspaso De: Edificio Trinidad Ramirez</t>
  </si>
  <si>
    <t>Traspaso De: Raventos Vicuna Patricia Maria</t>
  </si>
  <si>
    <t>14/08/2025</t>
  </si>
  <si>
    <t>Pago: Proveedores 0761316567</t>
  </si>
  <si>
    <t>Traspaso De: Roberto Quilaleo Impresion Estampados Y Disenos Ei</t>
  </si>
  <si>
    <t>Traspaso De: Fundacion Chilena De Cul</t>
  </si>
  <si>
    <t>Traspaso De: Lucia Irene Canteros Torres Capacitacion Y Asesori</t>
  </si>
  <si>
    <t>13/08/2025</t>
  </si>
  <si>
    <t>Orrego Luco - Edwards</t>
  </si>
  <si>
    <t>6321094</t>
  </si>
  <si>
    <t>8815491</t>
  </si>
  <si>
    <t>Traspaso De: Jessica Del Carmen Antiman Painequir</t>
  </si>
  <si>
    <t>Traspaso De: Jorge Osvaldo Tabilo</t>
  </si>
  <si>
    <t>Traspaso De: Albornoz Vargas Anatolio Segundo</t>
  </si>
  <si>
    <t>12/08/2025</t>
  </si>
  <si>
    <t>Traspaso De: Paulo Cesar Rebolledo Rebolledo</t>
  </si>
  <si>
    <t>Traspaso De: Jc Ingenieros Limitada</t>
  </si>
  <si>
    <t>Traspaso De: Corporacion De Derecho Privado Balneario El Ingeni</t>
  </si>
  <si>
    <t>11/08/2025</t>
  </si>
  <si>
    <t>Traspaso De: Lara Albornoz Spa</t>
  </si>
  <si>
    <t>Traspaso De: Asoc. De Productores De Salmon Y Trucha</t>
  </si>
  <si>
    <t>Traspaso De: Regum Spa</t>
  </si>
  <si>
    <t>08/08/2025</t>
  </si>
  <si>
    <t>Traspaso De: Borac Ingenieria Spa</t>
  </si>
  <si>
    <t>Traspaso De: Paralela Arquitectura Diseno Urbano Ltda</t>
  </si>
  <si>
    <t>Pago: Proveedores 0774418709</t>
  </si>
  <si>
    <t>Traspaso De: Sanchez Rubio Luis Guillermo</t>
  </si>
  <si>
    <t>Traspaso De: Obras Y Montajes Vial S.a.</t>
  </si>
  <si>
    <t>Traspaso De: Comercializadora Y Distribuidora Ascarcon Limitada</t>
  </si>
  <si>
    <t>07/08/2025</t>
  </si>
  <si>
    <t>Traspaso De: Roberto Antonio Mardones Acuna</t>
  </si>
  <si>
    <t>Traspaso De: Promimport Spa</t>
  </si>
  <si>
    <t>Traspaso De: Empresa De Transportes Nueva Servi Expres Limitada</t>
  </si>
  <si>
    <t>06/08/2025</t>
  </si>
  <si>
    <t>Traspaso De: Benjamin Tomas Moreno Cortes</t>
  </si>
  <si>
    <t>Traspaso De: Rinoprint Spa</t>
  </si>
  <si>
    <t>Traspaso De: Frutos Secos Carrasco Spa</t>
  </si>
  <si>
    <t>Traspaso De: Isabel Margarita Gallardo Villanueva</t>
  </si>
  <si>
    <t>05/08/2025</t>
  </si>
  <si>
    <t>Traspaso De: Mario Nelson Carvajal Araya</t>
  </si>
  <si>
    <t>Traspaso De: Inversiones B R Limitada</t>
  </si>
  <si>
    <t>Traspaso De: Tcl Comercial Limitada</t>
  </si>
  <si>
    <t>04/08/2025</t>
  </si>
  <si>
    <t>Traspaso De: Dell?oro Abogados Spa</t>
  </si>
  <si>
    <t>Traspaso De: Brenda Yubisa Pineda Gonzalez</t>
  </si>
  <si>
    <t>Traspaso De: Asesorias Profesionales Fig Limitada</t>
  </si>
  <si>
    <t>Traspaso De: Javiera Frias Correa</t>
  </si>
  <si>
    <t>Traspaso De: Dist Novadist Ins Y Serv De Encuade Ltda</t>
  </si>
  <si>
    <t>Traspaso De: Martinez Cortes Luis Mauricio</t>
  </si>
  <si>
    <t>Traspaso De: Fund Educ Colegio Maria Inmaculada</t>
  </si>
  <si>
    <t>Traspaso De: Vega Meza Luis Ernesto</t>
  </si>
  <si>
    <t>Traspaso De: Mersen Chile Limitada</t>
  </si>
  <si>
    <t>01/08/2025</t>
  </si>
  <si>
    <t>Traspaso De: Corporacion Educacional Pedro Aguirre Cerda</t>
  </si>
  <si>
    <t>Traspaso De: Spm Administracion Y Ases Orias Spa</t>
  </si>
  <si>
    <t>Traspaso De: Global Business Solutions Spa</t>
  </si>
  <si>
    <t>30/09/2025</t>
  </si>
  <si>
    <t>Traspaso De: Transportes Ocana Limitada</t>
  </si>
  <si>
    <t>Traspaso De: Master Constructora Limit Ada</t>
  </si>
  <si>
    <t>Pago: Proveedores 0760069388</t>
  </si>
  <si>
    <t>Traspaso De: Sociedad Importadora Imac Ro Limitada</t>
  </si>
  <si>
    <t>29/09/2025</t>
  </si>
  <si>
    <t>Traspaso De: Inversiones Hf Capital Limitada</t>
  </si>
  <si>
    <t>Provision: De Sueldos 00026</t>
  </si>
  <si>
    <t>Traspaso De: Susana Veronica Navea</t>
  </si>
  <si>
    <t>26/09/2025</t>
  </si>
  <si>
    <t>Traspaso De: Asesorias Inversiones Y Seguros Grey Capital Limit</t>
  </si>
  <si>
    <t>Traspaso A: Agencia De Aduana Giorgio Camaggi</t>
  </si>
  <si>
    <t>25/09/2025</t>
  </si>
  <si>
    <t>Traspaso De: Pharma Food Filters Ltda</t>
  </si>
  <si>
    <t>Traspaso De: Jocelyn Pamela Yon Oyarce</t>
  </si>
  <si>
    <t>Traspaso De: Empresa De Servicios Transitorios</t>
  </si>
  <si>
    <t>Traspaso De: Alimentos Eggprotein Spa</t>
  </si>
  <si>
    <t>24/09/2025</t>
  </si>
  <si>
    <t>Traspaso De: Johanna Paola Nunez Huenchun</t>
  </si>
  <si>
    <t>Traspaso De: Saaher Ascensores S A</t>
  </si>
  <si>
    <t>Traspaso De: Ane Marie Hoffmann Danko</t>
  </si>
  <si>
    <t>Traspaso De: Carlos Eugenio Riumallo Gurruchaga</t>
  </si>
  <si>
    <t>23/09/2025</t>
  </si>
  <si>
    <t>22/09/2025</t>
  </si>
  <si>
    <t>Traspaso De: Green Lab Spa</t>
  </si>
  <si>
    <t>17/09/2025</t>
  </si>
  <si>
    <t>16/09/2025</t>
  </si>
  <si>
    <t>Traspaso De: Promo Marketing Chile Spa</t>
  </si>
  <si>
    <t>Traspaso De: Actividades De Mercado Directo Limitada</t>
  </si>
  <si>
    <t>15/09/2025</t>
  </si>
  <si>
    <t>Traspaso De: Ycont Consultores Spa</t>
  </si>
  <si>
    <t>Traspaso De: Industrias Textiles Jose Ananias Spa</t>
  </si>
  <si>
    <t>Traspaso De: Inversiones La Fuente S A</t>
  </si>
  <si>
    <t>12/09/2025</t>
  </si>
  <si>
    <t>Traspaso De: Yasmin Claudia Cumsille Cumsille</t>
  </si>
  <si>
    <t>11/09/2025</t>
  </si>
  <si>
    <t>Traspaso De: Carmen Soledad Bravo Traipe</t>
  </si>
  <si>
    <t>Traspaso De: Jessica De Las Mercedes Abarca Bustamante</t>
  </si>
  <si>
    <t>10/09/2025</t>
  </si>
  <si>
    <t>Traspaso De: Banff Bombas S A</t>
  </si>
  <si>
    <t>Traspaso De: Construcciones Nordicas Limitada.</t>
  </si>
  <si>
    <t>09/09/2025</t>
  </si>
  <si>
    <t>Traspaso De: Inmobiliaria E Inversiones Los Robles Sa</t>
  </si>
  <si>
    <t>Traspaso De: Cubiertas De Chle Kubiec Spa</t>
  </si>
  <si>
    <t>Traspaso De: Jorge Cox Y Asociados Spa</t>
  </si>
  <si>
    <t>Traspaso De: Angela Del Carmen Aguilera Alfaro</t>
  </si>
  <si>
    <t>Cargo Por Pago Tc</t>
  </si>
  <si>
    <t>08/09/2025</t>
  </si>
  <si>
    <t>Pago: Proveedores 0841827007</t>
  </si>
  <si>
    <t>05/09/2025</t>
  </si>
  <si>
    <t>Traspaso De: Mujica Gutierrez Juan Cristian</t>
  </si>
  <si>
    <t>Traspaso De: Sociedad Agroindustrial Del Sur Limitada</t>
  </si>
  <si>
    <t>Traspaso De: Istc De Chile S.a.</t>
  </si>
  <si>
    <t>04/09/2025</t>
  </si>
  <si>
    <t>Traspaso De: Llull Arquitectos Asociados Y Cons</t>
  </si>
  <si>
    <t>Traspaso De: Sociedad Distribuidora Y Comercial Polyqui Limitad</t>
  </si>
  <si>
    <t>Traspaso De: Angelica Maria Becerra Gutierrez</t>
  </si>
  <si>
    <t>03/09/2025</t>
  </si>
  <si>
    <t>Traspaso De: Peter Bruning Y Companialimitada</t>
  </si>
  <si>
    <t>Traspaso De: B Brothers Spa</t>
  </si>
  <si>
    <t>Traspaso De: Maa Consultora Arqueologica Ltda</t>
  </si>
  <si>
    <t>Traspaso De: Transporte Y Logistica Norte Limitada</t>
  </si>
  <si>
    <t>Traspaso De: Rafael Enrique Parada Luco</t>
  </si>
  <si>
    <t>02/09/2025</t>
  </si>
  <si>
    <t>Traspaso De: Roberto Canales Villarroel Y Cia Limitada-cu</t>
  </si>
  <si>
    <t>01/09/2025</t>
  </si>
  <si>
    <t>Traspaso De: Jcl Comercial Limitada</t>
  </si>
  <si>
    <t>Traspaso De: Comercializadora E Import Adora Ferrati Limitada</t>
  </si>
  <si>
    <t>30/10/2025</t>
  </si>
  <si>
    <t>Traspaso De: Ingenieria Y Servicios Spa</t>
  </si>
  <si>
    <t>Traspaso De: Importadora Y Exportadora Zona Automotriz Limitada</t>
  </si>
  <si>
    <t>Traspaso De: Mendez Soto Juan Carlos</t>
  </si>
  <si>
    <t>29/10/2025</t>
  </si>
  <si>
    <t>Provision: De Sueldos 00027</t>
  </si>
  <si>
    <t>Traspaso De: Comite De Agua Potable Rural Lo De Lobos</t>
  </si>
  <si>
    <t>28/10/2025</t>
  </si>
  <si>
    <t>Traspaso De: Javiera Errazuriz Sotta</t>
  </si>
  <si>
    <t>Pago: Proveedores 0783863502</t>
  </si>
  <si>
    <t>Traspaso De: Grafica Letrilandia Limitada</t>
  </si>
  <si>
    <t>Traspaso De: Centro De Integracion Cognitivo Corporal Limitada</t>
  </si>
  <si>
    <t>Traspaso De: Sociedad Educacional Cole Gio Latinoamericano De I</t>
  </si>
  <si>
    <t>27/10/2025</t>
  </si>
  <si>
    <t>Traspaso De: Soc Agricola Huertos Chi</t>
  </si>
  <si>
    <t>Traspaso De: Fundacion Educacional Santa Teresita</t>
  </si>
  <si>
    <t>Traspaso De: Propesca S.a.</t>
  </si>
  <si>
    <t>Traspaso De: Agriservice Spa</t>
  </si>
  <si>
    <t>24/10/2025</t>
  </si>
  <si>
    <t>23/10/2025</t>
  </si>
  <si>
    <t>Traspaso De: Abastoplast Limitada</t>
  </si>
  <si>
    <t>Traspaso De: Centro De Iniciativa Empresarial Ciem Villarrica</t>
  </si>
  <si>
    <t>Traspaso A: Office Sandwich</t>
  </si>
  <si>
    <t>Traspaso A: Claudio Adolfo Cabrera Torres</t>
  </si>
  <si>
    <t>22/10/2025</t>
  </si>
  <si>
    <t>Traspaso De: Persialux Chile Spa</t>
  </si>
  <si>
    <t>Traspaso De: Rosson Flores Guillermo Ernesto</t>
  </si>
  <si>
    <t>Traspaso De: Pablo Andres Sanchez Alarcon</t>
  </si>
  <si>
    <t>Pago: Proveedores 0824313008</t>
  </si>
  <si>
    <t>App-traspaso De: Vivero Sofaniv Limitada</t>
  </si>
  <si>
    <t>21/10/2025</t>
  </si>
  <si>
    <t>Traspaso De: Inmobiliaria E Inversiones Santa Beatriz S.a.</t>
  </si>
  <si>
    <t>Pago: Proveedores 0769265473</t>
  </si>
  <si>
    <t>Traspaso De: Jvt Service Spa</t>
  </si>
  <si>
    <t>Traspaso De: Comercial Y Servicios Bal Ma Limitada</t>
  </si>
  <si>
    <t>20/10/2025</t>
  </si>
  <si>
    <t>Traspaso De: Jorge Alberto Vicuna Greene</t>
  </si>
  <si>
    <t>Traspaso De: Empresa Recicladora Planeta Limpio Spa</t>
  </si>
  <si>
    <t>17/10/2025</t>
  </si>
  <si>
    <t>Traspaso De: Rodaimport Limitada</t>
  </si>
  <si>
    <t>Traspaso De: Villar Hermanos S.a.</t>
  </si>
  <si>
    <t>Pago: Proveedores 0900730004</t>
  </si>
  <si>
    <t>16/10/2025</t>
  </si>
  <si>
    <t>Traspaso De: Gas Clean Limitada</t>
  </si>
  <si>
    <t>Traspaso De: Ibaro Inversiones Spa</t>
  </si>
  <si>
    <t>Traspaso De: Remuneraciones Nmd</t>
  </si>
  <si>
    <t>15/10/2025</t>
  </si>
  <si>
    <t>Traspaso De: Robert Neuschul Blochert</t>
  </si>
  <si>
    <t>Traspaso De: S Y V Asociados Ltda</t>
  </si>
  <si>
    <t>14/10/2025</t>
  </si>
  <si>
    <t>13/10/2025</t>
  </si>
  <si>
    <t>Traspaso De: Asesorias Tgs Limitada</t>
  </si>
  <si>
    <t>10/10/2025</t>
  </si>
  <si>
    <t>Traspaso De: Xerox De Chile S.a</t>
  </si>
  <si>
    <t>Pago: Proveedores 0969103001</t>
  </si>
  <si>
    <t>09/10/2025</t>
  </si>
  <si>
    <t>Traspaso De: Chacana Hermanos Limitada</t>
  </si>
  <si>
    <t>08/10/2025</t>
  </si>
  <si>
    <t>Traspaso De: Editorial Cid Spa</t>
  </si>
  <si>
    <t>Traspaso De: Marmol Mycam Spa</t>
  </si>
  <si>
    <t>07/10/2025</t>
  </si>
  <si>
    <t>06/10/2025</t>
  </si>
  <si>
    <t>Traspaso De: Chilarom S.a.</t>
  </si>
  <si>
    <t>Traspaso De: Ecologic Chile Spa</t>
  </si>
  <si>
    <t>03/10/2025</t>
  </si>
  <si>
    <t>Traspaso De: Proveedores Locales</t>
  </si>
  <si>
    <t>Traspaso De: Logistica Y Operaciones S Pa</t>
  </si>
  <si>
    <t>02/10/2025</t>
  </si>
  <si>
    <t>Cheque Depositado Mismo Banco</t>
  </si>
  <si>
    <t>Cajas Of.central</t>
  </si>
  <si>
    <t>0004365</t>
  </si>
  <si>
    <t>Traspaso De: Mireya De Las Mercedes Medina Caviedes</t>
  </si>
  <si>
    <t>Pago: Proveedores 0816989000</t>
  </si>
  <si>
    <t>01/10/2025</t>
  </si>
  <si>
    <t>Traspaso De: Ana Maria Ortega Ortiz</t>
  </si>
  <si>
    <t>Traspaso De: Sindicato De Supervisores Y Profesionales De Empre</t>
  </si>
  <si>
    <t>Traspaso De: Global Business Solutions Tech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</si>
</sst>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#,##0_ ;\-#,##0\ 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2"/>
      <color rgb="FFEE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 indent="1"/>
    </xf>
    <xf numFmtId="0" fontId="2" fillId="3" borderId="1" xfId="0" applyFont="1" applyFill="1" applyBorder="1" applyAlignment="1" applyProtection="1">
      <alignment horizontal="left" vertical="center" wrapText="1" indent="1"/>
      <protection locked="0"/>
    </xf>
    <xf numFmtId="0" fontId="2" fillId="3" borderId="4" xfId="0" applyFont="1" applyFill="1" applyBorder="1" applyAlignment="1" applyProtection="1">
      <alignment horizontal="left" vertical="center" wrapText="1" indent="1"/>
      <protection locked="0"/>
    </xf>
    <xf numFmtId="0" fontId="2" fillId="3" borderId="6" xfId="0" applyFont="1" applyFill="1" applyBorder="1" applyAlignment="1" applyProtection="1">
      <alignment horizontal="left" vertical="center" wrapText="1" indent="1"/>
      <protection locked="0"/>
    </xf>
    <xf numFmtId="165" fontId="2" fillId="3" borderId="7" xfId="0" applyNumberFormat="1" applyFont="1" applyFill="1" applyBorder="1" applyAlignment="1">
      <alignment horizontal="right" vertical="center" wrapText="1" indent="1"/>
    </xf>
    <xf numFmtId="0" fontId="3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0" fillId="0" borderId="0" xfId="0" applyNumberFormat="1"/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/>
    <xf numFmtId="164" fontId="2" fillId="3" borderId="1" xfId="0" applyNumberFormat="1" applyFont="1" applyFill="1" applyBorder="1" applyAlignment="1">
      <alignment horizontal="left" vertical="center" indent="1"/>
    </xf>
    <xf numFmtId="164" fontId="2" fillId="3" borderId="2" xfId="0" applyNumberFormat="1" applyFont="1" applyFill="1" applyBorder="1" applyAlignment="1">
      <alignment horizontal="left" vertical="center" indent="1"/>
    </xf>
    <xf numFmtId="165" fontId="2" fillId="3" borderId="1" xfId="0" applyNumberFormat="1" applyFont="1" applyFill="1" applyBorder="1" applyAlignment="1">
      <alignment horizontal="right" vertical="center" wrapText="1" indent="1"/>
    </xf>
    <xf numFmtId="165" fontId="2" fillId="3" borderId="4" xfId="0" applyNumberFormat="1" applyFont="1" applyFill="1" applyBorder="1" applyAlignment="1">
      <alignment horizontal="right" vertical="center" wrapText="1" indent="1"/>
    </xf>
    <xf numFmtId="165" fontId="2" fillId="3" borderId="2" xfId="0" applyNumberFormat="1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0" fontId="1" fillId="2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rubilar\Recotoner%20Dropbox\henry%20rubilar\C_Henry_Rubilar\GERENCIA\REUNION%20ASESOR%2002.07.2025\tblInfFlujoCaja_Proyecci&#243;n_Agosto_2025_Junio_2026.xlsx" TargetMode="External"/><Relationship Id="rId1" Type="http://schemas.openxmlformats.org/officeDocument/2006/relationships/externalLinkPath" Target="/Users/Hrubilar/Recotoner%20Dropbox/henry%20rubilar/C_Henry_Rubilar/GERENCIA/REUNION%20ASESOR%2002.07.2025/tblInfFlujoCaja_Proyecci&#243;n_Agosto_2025_Junio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"/>
      <sheetName val="PPTO RESULTADOS"/>
      <sheetName val="flujo Julio 2025"/>
      <sheetName val="proveedores_mensuales "/>
      <sheetName val="PROYECCION COMPRAS PROV "/>
      <sheetName val="FLUJO INGRESOS "/>
      <sheetName val="REMUNERACIONES_PPTO"/>
      <sheetName val="IMPUESTOS PROYECTADOS "/>
      <sheetName val="TABLA CREDITO "/>
    </sheetNames>
    <sheetDataSet>
      <sheetData sheetId="0"/>
      <sheetData sheetId="1"/>
      <sheetData sheetId="2"/>
      <sheetData sheetId="3">
        <row r="84">
          <cell r="Q84">
            <v>0.3</v>
          </cell>
        </row>
      </sheetData>
      <sheetData sheetId="4"/>
      <sheetData sheetId="5">
        <row r="8">
          <cell r="C8">
            <v>50854293.000000007</v>
          </cell>
          <cell r="D8">
            <v>52178049</v>
          </cell>
          <cell r="E8">
            <v>55266813</v>
          </cell>
          <cell r="F8">
            <v>59679333.000000007</v>
          </cell>
          <cell r="G8">
            <v>60341211</v>
          </cell>
          <cell r="H8">
            <v>65305296</v>
          </cell>
          <cell r="I8">
            <v>66518739</v>
          </cell>
          <cell r="J8">
            <v>73137519</v>
          </cell>
          <cell r="K8">
            <v>78763482</v>
          </cell>
          <cell r="L8">
            <v>81741933</v>
          </cell>
          <cell r="M8">
            <v>82624437</v>
          </cell>
        </row>
      </sheetData>
      <sheetData sheetId="6">
        <row r="4">
          <cell r="C4">
            <v>14153718</v>
          </cell>
          <cell r="D4">
            <v>4835636</v>
          </cell>
        </row>
        <row r="5">
          <cell r="C5">
            <v>13961718</v>
          </cell>
          <cell r="D5">
            <v>4787636</v>
          </cell>
        </row>
        <row r="6">
          <cell r="C6">
            <v>14057718</v>
          </cell>
        </row>
        <row r="7">
          <cell r="C7">
            <v>14249718</v>
          </cell>
          <cell r="D7">
            <v>4859636</v>
          </cell>
        </row>
        <row r="8">
          <cell r="C8">
            <v>14537718</v>
          </cell>
          <cell r="D8">
            <v>4931636</v>
          </cell>
        </row>
        <row r="9">
          <cell r="C9">
            <v>14537718</v>
          </cell>
          <cell r="D9">
            <v>4931636</v>
          </cell>
        </row>
        <row r="10">
          <cell r="C10">
            <v>14537718</v>
          </cell>
          <cell r="D10">
            <v>4931636</v>
          </cell>
        </row>
        <row r="11">
          <cell r="C11">
            <v>14537718</v>
          </cell>
          <cell r="D11">
            <v>4931636</v>
          </cell>
        </row>
        <row r="12">
          <cell r="C12">
            <v>14537718</v>
          </cell>
          <cell r="D12">
            <v>4931636</v>
          </cell>
        </row>
        <row r="13">
          <cell r="C13">
            <v>14537718</v>
          </cell>
          <cell r="D13">
            <v>4931636</v>
          </cell>
        </row>
        <row r="14">
          <cell r="C14">
            <v>14537718</v>
          </cell>
          <cell r="D14">
            <v>4931636</v>
          </cell>
        </row>
      </sheetData>
      <sheetData sheetId="7">
        <row r="9">
          <cell r="C9">
            <v>5818955.5</v>
          </cell>
          <cell r="H9">
            <v>6904268.91764706</v>
          </cell>
          <cell r="M9">
            <v>6994249.7176470589</v>
          </cell>
          <cell r="R9">
            <v>7338063.717647058</v>
          </cell>
          <cell r="V9">
            <v>8099460.3176470604</v>
          </cell>
          <cell r="AA9">
            <v>7980649.8176470585</v>
          </cell>
          <cell r="AF9">
            <v>8814764.41764706</v>
          </cell>
          <cell r="AK9">
            <v>9905482.91764706</v>
          </cell>
          <cell r="AP9">
            <v>9636004.0176470578</v>
          </cell>
          <cell r="AU9">
            <v>10504541.217647059</v>
          </cell>
          <cell r="AZ9">
            <v>10997612.517647058</v>
          </cell>
        </row>
      </sheetData>
      <sheetData sheetId="8">
        <row r="6">
          <cell r="G6">
            <v>1499369</v>
          </cell>
        </row>
        <row r="7">
          <cell r="G7">
            <v>1497398</v>
          </cell>
        </row>
        <row r="8">
          <cell r="G8">
            <v>1496587</v>
          </cell>
        </row>
        <row r="9">
          <cell r="G9">
            <v>1496277</v>
          </cell>
        </row>
        <row r="10">
          <cell r="G10">
            <v>1494945</v>
          </cell>
        </row>
        <row r="11">
          <cell r="G11">
            <v>1495471</v>
          </cell>
        </row>
        <row r="12">
          <cell r="G12">
            <v>1492850</v>
          </cell>
        </row>
        <row r="13">
          <cell r="G13">
            <v>1491623</v>
          </cell>
        </row>
        <row r="14">
          <cell r="G14">
            <v>1491916</v>
          </cell>
        </row>
        <row r="15">
          <cell r="G15">
            <v>1491019</v>
          </cell>
        </row>
        <row r="16">
          <cell r="G16">
            <v>1489802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EDA2-BB1F-4DFF-9F34-B004576D5196}">
  <dimension ref="A1:N968"/>
  <sheetViews>
    <sheetView tabSelected="1" topLeftCell="A936" workbookViewId="0">
      <selection activeCell="H941" sqref="H941:K941"/>
    </sheetView>
  </sheetViews>
  <sheetFormatPr baseColWidth="10" defaultRowHeight="14.4" x14ac:dyDescent="0.3"/>
  <cols>
    <col min="1" max="1" width="14.77734375" customWidth="1"/>
    <col min="2" max="2" width="9.109375" customWidth="1"/>
    <col min="3" max="3" width="66.109375" customWidth="1"/>
    <col min="4" max="4" width="21.109375" customWidth="1"/>
    <col min="5" max="5" width="21.44140625" customWidth="1"/>
    <col min="6" max="6" width="28.109375" customWidth="1"/>
    <col min="7" max="7" width="25" customWidth="1"/>
    <col min="8" max="8" width="9" customWidth="1"/>
    <col min="9" max="9" width="11" customWidth="1"/>
    <col min="10" max="10" width="3" customWidth="1"/>
    <col min="11" max="11" width="8.5546875" hidden="1" customWidth="1"/>
    <col min="12" max="12" width="71.6640625" style="15" customWidth="1"/>
    <col min="257" max="257" width="14.77734375" customWidth="1"/>
    <col min="258" max="258" width="9.109375" customWidth="1"/>
    <col min="259" max="259" width="46.6640625" customWidth="1"/>
    <col min="260" max="260" width="21.109375" customWidth="1"/>
    <col min="261" max="261" width="21.44140625" customWidth="1"/>
    <col min="262" max="262" width="28.109375" customWidth="1"/>
    <col min="263" max="263" width="25" customWidth="1"/>
    <col min="264" max="265" width="0" hidden="1" customWidth="1"/>
    <col min="266" max="266" width="27.77734375" customWidth="1"/>
    <col min="267" max="267" width="0" hidden="1" customWidth="1"/>
    <col min="513" max="513" width="14.77734375" customWidth="1"/>
    <col min="514" max="514" width="9.109375" customWidth="1"/>
    <col min="515" max="515" width="46.6640625" customWidth="1"/>
    <col min="516" max="516" width="21.109375" customWidth="1"/>
    <col min="517" max="517" width="21.44140625" customWidth="1"/>
    <col min="518" max="518" width="28.109375" customWidth="1"/>
    <col min="519" max="519" width="25" customWidth="1"/>
    <col min="520" max="521" width="0" hidden="1" customWidth="1"/>
    <col min="522" max="522" width="27.77734375" customWidth="1"/>
    <col min="523" max="523" width="0" hidden="1" customWidth="1"/>
    <col min="769" max="769" width="14.77734375" customWidth="1"/>
    <col min="770" max="770" width="9.109375" customWidth="1"/>
    <col min="771" max="771" width="46.6640625" customWidth="1"/>
    <col min="772" max="772" width="21.109375" customWidth="1"/>
    <col min="773" max="773" width="21.44140625" customWidth="1"/>
    <col min="774" max="774" width="28.109375" customWidth="1"/>
    <col min="775" max="775" width="25" customWidth="1"/>
    <col min="776" max="777" width="0" hidden="1" customWidth="1"/>
    <col min="778" max="778" width="27.77734375" customWidth="1"/>
    <col min="779" max="779" width="0" hidden="1" customWidth="1"/>
    <col min="1025" max="1025" width="14.77734375" customWidth="1"/>
    <col min="1026" max="1026" width="9.109375" customWidth="1"/>
    <col min="1027" max="1027" width="46.6640625" customWidth="1"/>
    <col min="1028" max="1028" width="21.109375" customWidth="1"/>
    <col min="1029" max="1029" width="21.44140625" customWidth="1"/>
    <col min="1030" max="1030" width="28.109375" customWidth="1"/>
    <col min="1031" max="1031" width="25" customWidth="1"/>
    <col min="1032" max="1033" width="0" hidden="1" customWidth="1"/>
    <col min="1034" max="1034" width="27.77734375" customWidth="1"/>
    <col min="1035" max="1035" width="0" hidden="1" customWidth="1"/>
    <col min="1281" max="1281" width="14.77734375" customWidth="1"/>
    <col min="1282" max="1282" width="9.109375" customWidth="1"/>
    <col min="1283" max="1283" width="46.6640625" customWidth="1"/>
    <col min="1284" max="1284" width="21.109375" customWidth="1"/>
    <col min="1285" max="1285" width="21.44140625" customWidth="1"/>
    <col min="1286" max="1286" width="28.109375" customWidth="1"/>
    <col min="1287" max="1287" width="25" customWidth="1"/>
    <col min="1288" max="1289" width="0" hidden="1" customWidth="1"/>
    <col min="1290" max="1290" width="27.77734375" customWidth="1"/>
    <col min="1291" max="1291" width="0" hidden="1" customWidth="1"/>
    <col min="1537" max="1537" width="14.77734375" customWidth="1"/>
    <col min="1538" max="1538" width="9.109375" customWidth="1"/>
    <col min="1539" max="1539" width="46.6640625" customWidth="1"/>
    <col min="1540" max="1540" width="21.109375" customWidth="1"/>
    <col min="1541" max="1541" width="21.44140625" customWidth="1"/>
    <col min="1542" max="1542" width="28.109375" customWidth="1"/>
    <col min="1543" max="1543" width="25" customWidth="1"/>
    <col min="1544" max="1545" width="0" hidden="1" customWidth="1"/>
    <col min="1546" max="1546" width="27.77734375" customWidth="1"/>
    <col min="1547" max="1547" width="0" hidden="1" customWidth="1"/>
    <col min="1793" max="1793" width="14.77734375" customWidth="1"/>
    <col min="1794" max="1794" width="9.109375" customWidth="1"/>
    <col min="1795" max="1795" width="46.6640625" customWidth="1"/>
    <col min="1796" max="1796" width="21.109375" customWidth="1"/>
    <col min="1797" max="1797" width="21.44140625" customWidth="1"/>
    <col min="1798" max="1798" width="28.109375" customWidth="1"/>
    <col min="1799" max="1799" width="25" customWidth="1"/>
    <col min="1800" max="1801" width="0" hidden="1" customWidth="1"/>
    <col min="1802" max="1802" width="27.77734375" customWidth="1"/>
    <col min="1803" max="1803" width="0" hidden="1" customWidth="1"/>
    <col min="2049" max="2049" width="14.77734375" customWidth="1"/>
    <col min="2050" max="2050" width="9.109375" customWidth="1"/>
    <col min="2051" max="2051" width="46.6640625" customWidth="1"/>
    <col min="2052" max="2052" width="21.109375" customWidth="1"/>
    <col min="2053" max="2053" width="21.44140625" customWidth="1"/>
    <col min="2054" max="2054" width="28.109375" customWidth="1"/>
    <col min="2055" max="2055" width="25" customWidth="1"/>
    <col min="2056" max="2057" width="0" hidden="1" customWidth="1"/>
    <col min="2058" max="2058" width="27.77734375" customWidth="1"/>
    <col min="2059" max="2059" width="0" hidden="1" customWidth="1"/>
    <col min="2305" max="2305" width="14.77734375" customWidth="1"/>
    <col min="2306" max="2306" width="9.109375" customWidth="1"/>
    <col min="2307" max="2307" width="46.6640625" customWidth="1"/>
    <col min="2308" max="2308" width="21.109375" customWidth="1"/>
    <col min="2309" max="2309" width="21.44140625" customWidth="1"/>
    <col min="2310" max="2310" width="28.109375" customWidth="1"/>
    <col min="2311" max="2311" width="25" customWidth="1"/>
    <col min="2312" max="2313" width="0" hidden="1" customWidth="1"/>
    <col min="2314" max="2314" width="27.77734375" customWidth="1"/>
    <col min="2315" max="2315" width="0" hidden="1" customWidth="1"/>
    <col min="2561" max="2561" width="14.77734375" customWidth="1"/>
    <col min="2562" max="2562" width="9.109375" customWidth="1"/>
    <col min="2563" max="2563" width="46.6640625" customWidth="1"/>
    <col min="2564" max="2564" width="21.109375" customWidth="1"/>
    <col min="2565" max="2565" width="21.44140625" customWidth="1"/>
    <col min="2566" max="2566" width="28.109375" customWidth="1"/>
    <col min="2567" max="2567" width="25" customWidth="1"/>
    <col min="2568" max="2569" width="0" hidden="1" customWidth="1"/>
    <col min="2570" max="2570" width="27.77734375" customWidth="1"/>
    <col min="2571" max="2571" width="0" hidden="1" customWidth="1"/>
    <col min="2817" max="2817" width="14.77734375" customWidth="1"/>
    <col min="2818" max="2818" width="9.109375" customWidth="1"/>
    <col min="2819" max="2819" width="46.6640625" customWidth="1"/>
    <col min="2820" max="2820" width="21.109375" customWidth="1"/>
    <col min="2821" max="2821" width="21.44140625" customWidth="1"/>
    <col min="2822" max="2822" width="28.109375" customWidth="1"/>
    <col min="2823" max="2823" width="25" customWidth="1"/>
    <col min="2824" max="2825" width="0" hidden="1" customWidth="1"/>
    <col min="2826" max="2826" width="27.77734375" customWidth="1"/>
    <col min="2827" max="2827" width="0" hidden="1" customWidth="1"/>
    <col min="3073" max="3073" width="14.77734375" customWidth="1"/>
    <col min="3074" max="3074" width="9.109375" customWidth="1"/>
    <col min="3075" max="3075" width="46.6640625" customWidth="1"/>
    <col min="3076" max="3076" width="21.109375" customWidth="1"/>
    <col min="3077" max="3077" width="21.44140625" customWidth="1"/>
    <col min="3078" max="3078" width="28.109375" customWidth="1"/>
    <col min="3079" max="3079" width="25" customWidth="1"/>
    <col min="3080" max="3081" width="0" hidden="1" customWidth="1"/>
    <col min="3082" max="3082" width="27.77734375" customWidth="1"/>
    <col min="3083" max="3083" width="0" hidden="1" customWidth="1"/>
    <col min="3329" max="3329" width="14.77734375" customWidth="1"/>
    <col min="3330" max="3330" width="9.109375" customWidth="1"/>
    <col min="3331" max="3331" width="46.6640625" customWidth="1"/>
    <col min="3332" max="3332" width="21.109375" customWidth="1"/>
    <col min="3333" max="3333" width="21.44140625" customWidth="1"/>
    <col min="3334" max="3334" width="28.109375" customWidth="1"/>
    <col min="3335" max="3335" width="25" customWidth="1"/>
    <col min="3336" max="3337" width="0" hidden="1" customWidth="1"/>
    <col min="3338" max="3338" width="27.77734375" customWidth="1"/>
    <col min="3339" max="3339" width="0" hidden="1" customWidth="1"/>
    <col min="3585" max="3585" width="14.77734375" customWidth="1"/>
    <col min="3586" max="3586" width="9.109375" customWidth="1"/>
    <col min="3587" max="3587" width="46.6640625" customWidth="1"/>
    <col min="3588" max="3588" width="21.109375" customWidth="1"/>
    <col min="3589" max="3589" width="21.44140625" customWidth="1"/>
    <col min="3590" max="3590" width="28.109375" customWidth="1"/>
    <col min="3591" max="3591" width="25" customWidth="1"/>
    <col min="3592" max="3593" width="0" hidden="1" customWidth="1"/>
    <col min="3594" max="3594" width="27.77734375" customWidth="1"/>
    <col min="3595" max="3595" width="0" hidden="1" customWidth="1"/>
    <col min="3841" max="3841" width="14.77734375" customWidth="1"/>
    <col min="3842" max="3842" width="9.109375" customWidth="1"/>
    <col min="3843" max="3843" width="46.6640625" customWidth="1"/>
    <col min="3844" max="3844" width="21.109375" customWidth="1"/>
    <col min="3845" max="3845" width="21.44140625" customWidth="1"/>
    <col min="3846" max="3846" width="28.109375" customWidth="1"/>
    <col min="3847" max="3847" width="25" customWidth="1"/>
    <col min="3848" max="3849" width="0" hidden="1" customWidth="1"/>
    <col min="3850" max="3850" width="27.77734375" customWidth="1"/>
    <col min="3851" max="3851" width="0" hidden="1" customWidth="1"/>
    <col min="4097" max="4097" width="14.77734375" customWidth="1"/>
    <col min="4098" max="4098" width="9.109375" customWidth="1"/>
    <col min="4099" max="4099" width="46.6640625" customWidth="1"/>
    <col min="4100" max="4100" width="21.109375" customWidth="1"/>
    <col min="4101" max="4101" width="21.44140625" customWidth="1"/>
    <col min="4102" max="4102" width="28.109375" customWidth="1"/>
    <col min="4103" max="4103" width="25" customWidth="1"/>
    <col min="4104" max="4105" width="0" hidden="1" customWidth="1"/>
    <col min="4106" max="4106" width="27.77734375" customWidth="1"/>
    <col min="4107" max="4107" width="0" hidden="1" customWidth="1"/>
    <col min="4353" max="4353" width="14.77734375" customWidth="1"/>
    <col min="4354" max="4354" width="9.109375" customWidth="1"/>
    <col min="4355" max="4355" width="46.6640625" customWidth="1"/>
    <col min="4356" max="4356" width="21.109375" customWidth="1"/>
    <col min="4357" max="4357" width="21.44140625" customWidth="1"/>
    <col min="4358" max="4358" width="28.109375" customWidth="1"/>
    <col min="4359" max="4359" width="25" customWidth="1"/>
    <col min="4360" max="4361" width="0" hidden="1" customWidth="1"/>
    <col min="4362" max="4362" width="27.77734375" customWidth="1"/>
    <col min="4363" max="4363" width="0" hidden="1" customWidth="1"/>
    <col min="4609" max="4609" width="14.77734375" customWidth="1"/>
    <col min="4610" max="4610" width="9.109375" customWidth="1"/>
    <col min="4611" max="4611" width="46.6640625" customWidth="1"/>
    <col min="4612" max="4612" width="21.109375" customWidth="1"/>
    <col min="4613" max="4613" width="21.44140625" customWidth="1"/>
    <col min="4614" max="4614" width="28.109375" customWidth="1"/>
    <col min="4615" max="4615" width="25" customWidth="1"/>
    <col min="4616" max="4617" width="0" hidden="1" customWidth="1"/>
    <col min="4618" max="4618" width="27.77734375" customWidth="1"/>
    <col min="4619" max="4619" width="0" hidden="1" customWidth="1"/>
    <col min="4865" max="4865" width="14.77734375" customWidth="1"/>
    <col min="4866" max="4866" width="9.109375" customWidth="1"/>
    <col min="4867" max="4867" width="46.6640625" customWidth="1"/>
    <col min="4868" max="4868" width="21.109375" customWidth="1"/>
    <col min="4869" max="4869" width="21.44140625" customWidth="1"/>
    <col min="4870" max="4870" width="28.109375" customWidth="1"/>
    <col min="4871" max="4871" width="25" customWidth="1"/>
    <col min="4872" max="4873" width="0" hidden="1" customWidth="1"/>
    <col min="4874" max="4874" width="27.77734375" customWidth="1"/>
    <col min="4875" max="4875" width="0" hidden="1" customWidth="1"/>
    <col min="5121" max="5121" width="14.77734375" customWidth="1"/>
    <col min="5122" max="5122" width="9.109375" customWidth="1"/>
    <col min="5123" max="5123" width="46.6640625" customWidth="1"/>
    <col min="5124" max="5124" width="21.109375" customWidth="1"/>
    <col min="5125" max="5125" width="21.44140625" customWidth="1"/>
    <col min="5126" max="5126" width="28.109375" customWidth="1"/>
    <col min="5127" max="5127" width="25" customWidth="1"/>
    <col min="5128" max="5129" width="0" hidden="1" customWidth="1"/>
    <col min="5130" max="5130" width="27.77734375" customWidth="1"/>
    <col min="5131" max="5131" width="0" hidden="1" customWidth="1"/>
    <col min="5377" max="5377" width="14.77734375" customWidth="1"/>
    <col min="5378" max="5378" width="9.109375" customWidth="1"/>
    <col min="5379" max="5379" width="46.6640625" customWidth="1"/>
    <col min="5380" max="5380" width="21.109375" customWidth="1"/>
    <col min="5381" max="5381" width="21.44140625" customWidth="1"/>
    <col min="5382" max="5382" width="28.109375" customWidth="1"/>
    <col min="5383" max="5383" width="25" customWidth="1"/>
    <col min="5384" max="5385" width="0" hidden="1" customWidth="1"/>
    <col min="5386" max="5386" width="27.77734375" customWidth="1"/>
    <col min="5387" max="5387" width="0" hidden="1" customWidth="1"/>
    <col min="5633" max="5633" width="14.77734375" customWidth="1"/>
    <col min="5634" max="5634" width="9.109375" customWidth="1"/>
    <col min="5635" max="5635" width="46.6640625" customWidth="1"/>
    <col min="5636" max="5636" width="21.109375" customWidth="1"/>
    <col min="5637" max="5637" width="21.44140625" customWidth="1"/>
    <col min="5638" max="5638" width="28.109375" customWidth="1"/>
    <col min="5639" max="5639" width="25" customWidth="1"/>
    <col min="5640" max="5641" width="0" hidden="1" customWidth="1"/>
    <col min="5642" max="5642" width="27.77734375" customWidth="1"/>
    <col min="5643" max="5643" width="0" hidden="1" customWidth="1"/>
    <col min="5889" max="5889" width="14.77734375" customWidth="1"/>
    <col min="5890" max="5890" width="9.109375" customWidth="1"/>
    <col min="5891" max="5891" width="46.6640625" customWidth="1"/>
    <col min="5892" max="5892" width="21.109375" customWidth="1"/>
    <col min="5893" max="5893" width="21.44140625" customWidth="1"/>
    <col min="5894" max="5894" width="28.109375" customWidth="1"/>
    <col min="5895" max="5895" width="25" customWidth="1"/>
    <col min="5896" max="5897" width="0" hidden="1" customWidth="1"/>
    <col min="5898" max="5898" width="27.77734375" customWidth="1"/>
    <col min="5899" max="5899" width="0" hidden="1" customWidth="1"/>
    <col min="6145" max="6145" width="14.77734375" customWidth="1"/>
    <col min="6146" max="6146" width="9.109375" customWidth="1"/>
    <col min="6147" max="6147" width="46.6640625" customWidth="1"/>
    <col min="6148" max="6148" width="21.109375" customWidth="1"/>
    <col min="6149" max="6149" width="21.44140625" customWidth="1"/>
    <col min="6150" max="6150" width="28.109375" customWidth="1"/>
    <col min="6151" max="6151" width="25" customWidth="1"/>
    <col min="6152" max="6153" width="0" hidden="1" customWidth="1"/>
    <col min="6154" max="6154" width="27.77734375" customWidth="1"/>
    <col min="6155" max="6155" width="0" hidden="1" customWidth="1"/>
    <col min="6401" max="6401" width="14.77734375" customWidth="1"/>
    <col min="6402" max="6402" width="9.109375" customWidth="1"/>
    <col min="6403" max="6403" width="46.6640625" customWidth="1"/>
    <col min="6404" max="6404" width="21.109375" customWidth="1"/>
    <col min="6405" max="6405" width="21.44140625" customWidth="1"/>
    <col min="6406" max="6406" width="28.109375" customWidth="1"/>
    <col min="6407" max="6407" width="25" customWidth="1"/>
    <col min="6408" max="6409" width="0" hidden="1" customWidth="1"/>
    <col min="6410" max="6410" width="27.77734375" customWidth="1"/>
    <col min="6411" max="6411" width="0" hidden="1" customWidth="1"/>
    <col min="6657" max="6657" width="14.77734375" customWidth="1"/>
    <col min="6658" max="6658" width="9.109375" customWidth="1"/>
    <col min="6659" max="6659" width="46.6640625" customWidth="1"/>
    <col min="6660" max="6660" width="21.109375" customWidth="1"/>
    <col min="6661" max="6661" width="21.44140625" customWidth="1"/>
    <col min="6662" max="6662" width="28.109375" customWidth="1"/>
    <col min="6663" max="6663" width="25" customWidth="1"/>
    <col min="6664" max="6665" width="0" hidden="1" customWidth="1"/>
    <col min="6666" max="6666" width="27.77734375" customWidth="1"/>
    <col min="6667" max="6667" width="0" hidden="1" customWidth="1"/>
    <col min="6913" max="6913" width="14.77734375" customWidth="1"/>
    <col min="6914" max="6914" width="9.109375" customWidth="1"/>
    <col min="6915" max="6915" width="46.6640625" customWidth="1"/>
    <col min="6916" max="6916" width="21.109375" customWidth="1"/>
    <col min="6917" max="6917" width="21.44140625" customWidth="1"/>
    <col min="6918" max="6918" width="28.109375" customWidth="1"/>
    <col min="6919" max="6919" width="25" customWidth="1"/>
    <col min="6920" max="6921" width="0" hidden="1" customWidth="1"/>
    <col min="6922" max="6922" width="27.77734375" customWidth="1"/>
    <col min="6923" max="6923" width="0" hidden="1" customWidth="1"/>
    <col min="7169" max="7169" width="14.77734375" customWidth="1"/>
    <col min="7170" max="7170" width="9.109375" customWidth="1"/>
    <col min="7171" max="7171" width="46.6640625" customWidth="1"/>
    <col min="7172" max="7172" width="21.109375" customWidth="1"/>
    <col min="7173" max="7173" width="21.44140625" customWidth="1"/>
    <col min="7174" max="7174" width="28.109375" customWidth="1"/>
    <col min="7175" max="7175" width="25" customWidth="1"/>
    <col min="7176" max="7177" width="0" hidden="1" customWidth="1"/>
    <col min="7178" max="7178" width="27.77734375" customWidth="1"/>
    <col min="7179" max="7179" width="0" hidden="1" customWidth="1"/>
    <col min="7425" max="7425" width="14.77734375" customWidth="1"/>
    <col min="7426" max="7426" width="9.109375" customWidth="1"/>
    <col min="7427" max="7427" width="46.6640625" customWidth="1"/>
    <col min="7428" max="7428" width="21.109375" customWidth="1"/>
    <col min="7429" max="7429" width="21.44140625" customWidth="1"/>
    <col min="7430" max="7430" width="28.109375" customWidth="1"/>
    <col min="7431" max="7431" width="25" customWidth="1"/>
    <col min="7432" max="7433" width="0" hidden="1" customWidth="1"/>
    <col min="7434" max="7434" width="27.77734375" customWidth="1"/>
    <col min="7435" max="7435" width="0" hidden="1" customWidth="1"/>
    <col min="7681" max="7681" width="14.77734375" customWidth="1"/>
    <col min="7682" max="7682" width="9.109375" customWidth="1"/>
    <col min="7683" max="7683" width="46.6640625" customWidth="1"/>
    <col min="7684" max="7684" width="21.109375" customWidth="1"/>
    <col min="7685" max="7685" width="21.44140625" customWidth="1"/>
    <col min="7686" max="7686" width="28.109375" customWidth="1"/>
    <col min="7687" max="7687" width="25" customWidth="1"/>
    <col min="7688" max="7689" width="0" hidden="1" customWidth="1"/>
    <col min="7690" max="7690" width="27.77734375" customWidth="1"/>
    <col min="7691" max="7691" width="0" hidden="1" customWidth="1"/>
    <col min="7937" max="7937" width="14.77734375" customWidth="1"/>
    <col min="7938" max="7938" width="9.109375" customWidth="1"/>
    <col min="7939" max="7939" width="46.6640625" customWidth="1"/>
    <col min="7940" max="7940" width="21.109375" customWidth="1"/>
    <col min="7941" max="7941" width="21.44140625" customWidth="1"/>
    <col min="7942" max="7942" width="28.109375" customWidth="1"/>
    <col min="7943" max="7943" width="25" customWidth="1"/>
    <col min="7944" max="7945" width="0" hidden="1" customWidth="1"/>
    <col min="7946" max="7946" width="27.77734375" customWidth="1"/>
    <col min="7947" max="7947" width="0" hidden="1" customWidth="1"/>
    <col min="8193" max="8193" width="14.77734375" customWidth="1"/>
    <col min="8194" max="8194" width="9.109375" customWidth="1"/>
    <col min="8195" max="8195" width="46.6640625" customWidth="1"/>
    <col min="8196" max="8196" width="21.109375" customWidth="1"/>
    <col min="8197" max="8197" width="21.44140625" customWidth="1"/>
    <col min="8198" max="8198" width="28.109375" customWidth="1"/>
    <col min="8199" max="8199" width="25" customWidth="1"/>
    <col min="8200" max="8201" width="0" hidden="1" customWidth="1"/>
    <col min="8202" max="8202" width="27.77734375" customWidth="1"/>
    <col min="8203" max="8203" width="0" hidden="1" customWidth="1"/>
    <col min="8449" max="8449" width="14.77734375" customWidth="1"/>
    <col min="8450" max="8450" width="9.109375" customWidth="1"/>
    <col min="8451" max="8451" width="46.6640625" customWidth="1"/>
    <col min="8452" max="8452" width="21.109375" customWidth="1"/>
    <col min="8453" max="8453" width="21.44140625" customWidth="1"/>
    <col min="8454" max="8454" width="28.109375" customWidth="1"/>
    <col min="8455" max="8455" width="25" customWidth="1"/>
    <col min="8456" max="8457" width="0" hidden="1" customWidth="1"/>
    <col min="8458" max="8458" width="27.77734375" customWidth="1"/>
    <col min="8459" max="8459" width="0" hidden="1" customWidth="1"/>
    <col min="8705" max="8705" width="14.77734375" customWidth="1"/>
    <col min="8706" max="8706" width="9.109375" customWidth="1"/>
    <col min="8707" max="8707" width="46.6640625" customWidth="1"/>
    <col min="8708" max="8708" width="21.109375" customWidth="1"/>
    <col min="8709" max="8709" width="21.44140625" customWidth="1"/>
    <col min="8710" max="8710" width="28.109375" customWidth="1"/>
    <col min="8711" max="8711" width="25" customWidth="1"/>
    <col min="8712" max="8713" width="0" hidden="1" customWidth="1"/>
    <col min="8714" max="8714" width="27.77734375" customWidth="1"/>
    <col min="8715" max="8715" width="0" hidden="1" customWidth="1"/>
    <col min="8961" max="8961" width="14.77734375" customWidth="1"/>
    <col min="8962" max="8962" width="9.109375" customWidth="1"/>
    <col min="8963" max="8963" width="46.6640625" customWidth="1"/>
    <col min="8964" max="8964" width="21.109375" customWidth="1"/>
    <col min="8965" max="8965" width="21.44140625" customWidth="1"/>
    <col min="8966" max="8966" width="28.109375" customWidth="1"/>
    <col min="8967" max="8967" width="25" customWidth="1"/>
    <col min="8968" max="8969" width="0" hidden="1" customWidth="1"/>
    <col min="8970" max="8970" width="27.77734375" customWidth="1"/>
    <col min="8971" max="8971" width="0" hidden="1" customWidth="1"/>
    <col min="9217" max="9217" width="14.77734375" customWidth="1"/>
    <col min="9218" max="9218" width="9.109375" customWidth="1"/>
    <col min="9219" max="9219" width="46.6640625" customWidth="1"/>
    <col min="9220" max="9220" width="21.109375" customWidth="1"/>
    <col min="9221" max="9221" width="21.44140625" customWidth="1"/>
    <col min="9222" max="9222" width="28.109375" customWidth="1"/>
    <col min="9223" max="9223" width="25" customWidth="1"/>
    <col min="9224" max="9225" width="0" hidden="1" customWidth="1"/>
    <col min="9226" max="9226" width="27.77734375" customWidth="1"/>
    <col min="9227" max="9227" width="0" hidden="1" customWidth="1"/>
    <col min="9473" max="9473" width="14.77734375" customWidth="1"/>
    <col min="9474" max="9474" width="9.109375" customWidth="1"/>
    <col min="9475" max="9475" width="46.6640625" customWidth="1"/>
    <col min="9476" max="9476" width="21.109375" customWidth="1"/>
    <col min="9477" max="9477" width="21.44140625" customWidth="1"/>
    <col min="9478" max="9478" width="28.109375" customWidth="1"/>
    <col min="9479" max="9479" width="25" customWidth="1"/>
    <col min="9480" max="9481" width="0" hidden="1" customWidth="1"/>
    <col min="9482" max="9482" width="27.77734375" customWidth="1"/>
    <col min="9483" max="9483" width="0" hidden="1" customWidth="1"/>
    <col min="9729" max="9729" width="14.77734375" customWidth="1"/>
    <col min="9730" max="9730" width="9.109375" customWidth="1"/>
    <col min="9731" max="9731" width="46.6640625" customWidth="1"/>
    <col min="9732" max="9732" width="21.109375" customWidth="1"/>
    <col min="9733" max="9733" width="21.44140625" customWidth="1"/>
    <col min="9734" max="9734" width="28.109375" customWidth="1"/>
    <col min="9735" max="9735" width="25" customWidth="1"/>
    <col min="9736" max="9737" width="0" hidden="1" customWidth="1"/>
    <col min="9738" max="9738" width="27.77734375" customWidth="1"/>
    <col min="9739" max="9739" width="0" hidden="1" customWidth="1"/>
    <col min="9985" max="9985" width="14.77734375" customWidth="1"/>
    <col min="9986" max="9986" width="9.109375" customWidth="1"/>
    <col min="9987" max="9987" width="46.6640625" customWidth="1"/>
    <col min="9988" max="9988" width="21.109375" customWidth="1"/>
    <col min="9989" max="9989" width="21.44140625" customWidth="1"/>
    <col min="9990" max="9990" width="28.109375" customWidth="1"/>
    <col min="9991" max="9991" width="25" customWidth="1"/>
    <col min="9992" max="9993" width="0" hidden="1" customWidth="1"/>
    <col min="9994" max="9994" width="27.77734375" customWidth="1"/>
    <col min="9995" max="9995" width="0" hidden="1" customWidth="1"/>
    <col min="10241" max="10241" width="14.77734375" customWidth="1"/>
    <col min="10242" max="10242" width="9.109375" customWidth="1"/>
    <col min="10243" max="10243" width="46.6640625" customWidth="1"/>
    <col min="10244" max="10244" width="21.109375" customWidth="1"/>
    <col min="10245" max="10245" width="21.44140625" customWidth="1"/>
    <col min="10246" max="10246" width="28.109375" customWidth="1"/>
    <col min="10247" max="10247" width="25" customWidth="1"/>
    <col min="10248" max="10249" width="0" hidden="1" customWidth="1"/>
    <col min="10250" max="10250" width="27.77734375" customWidth="1"/>
    <col min="10251" max="10251" width="0" hidden="1" customWidth="1"/>
    <col min="10497" max="10497" width="14.77734375" customWidth="1"/>
    <col min="10498" max="10498" width="9.109375" customWidth="1"/>
    <col min="10499" max="10499" width="46.6640625" customWidth="1"/>
    <col min="10500" max="10500" width="21.109375" customWidth="1"/>
    <col min="10501" max="10501" width="21.44140625" customWidth="1"/>
    <col min="10502" max="10502" width="28.109375" customWidth="1"/>
    <col min="10503" max="10503" width="25" customWidth="1"/>
    <col min="10504" max="10505" width="0" hidden="1" customWidth="1"/>
    <col min="10506" max="10506" width="27.77734375" customWidth="1"/>
    <col min="10507" max="10507" width="0" hidden="1" customWidth="1"/>
    <col min="10753" max="10753" width="14.77734375" customWidth="1"/>
    <col min="10754" max="10754" width="9.109375" customWidth="1"/>
    <col min="10755" max="10755" width="46.6640625" customWidth="1"/>
    <col min="10756" max="10756" width="21.109375" customWidth="1"/>
    <col min="10757" max="10757" width="21.44140625" customWidth="1"/>
    <col min="10758" max="10758" width="28.109375" customWidth="1"/>
    <col min="10759" max="10759" width="25" customWidth="1"/>
    <col min="10760" max="10761" width="0" hidden="1" customWidth="1"/>
    <col min="10762" max="10762" width="27.77734375" customWidth="1"/>
    <col min="10763" max="10763" width="0" hidden="1" customWidth="1"/>
    <col min="11009" max="11009" width="14.77734375" customWidth="1"/>
    <col min="11010" max="11010" width="9.109375" customWidth="1"/>
    <col min="11011" max="11011" width="46.6640625" customWidth="1"/>
    <col min="11012" max="11012" width="21.109375" customWidth="1"/>
    <col min="11013" max="11013" width="21.44140625" customWidth="1"/>
    <col min="11014" max="11014" width="28.109375" customWidth="1"/>
    <col min="11015" max="11015" width="25" customWidth="1"/>
    <col min="11016" max="11017" width="0" hidden="1" customWidth="1"/>
    <col min="11018" max="11018" width="27.77734375" customWidth="1"/>
    <col min="11019" max="11019" width="0" hidden="1" customWidth="1"/>
    <col min="11265" max="11265" width="14.77734375" customWidth="1"/>
    <col min="11266" max="11266" width="9.109375" customWidth="1"/>
    <col min="11267" max="11267" width="46.6640625" customWidth="1"/>
    <col min="11268" max="11268" width="21.109375" customWidth="1"/>
    <col min="11269" max="11269" width="21.44140625" customWidth="1"/>
    <col min="11270" max="11270" width="28.109375" customWidth="1"/>
    <col min="11271" max="11271" width="25" customWidth="1"/>
    <col min="11272" max="11273" width="0" hidden="1" customWidth="1"/>
    <col min="11274" max="11274" width="27.77734375" customWidth="1"/>
    <col min="11275" max="11275" width="0" hidden="1" customWidth="1"/>
    <col min="11521" max="11521" width="14.77734375" customWidth="1"/>
    <col min="11522" max="11522" width="9.109375" customWidth="1"/>
    <col min="11523" max="11523" width="46.6640625" customWidth="1"/>
    <col min="11524" max="11524" width="21.109375" customWidth="1"/>
    <col min="11525" max="11525" width="21.44140625" customWidth="1"/>
    <col min="11526" max="11526" width="28.109375" customWidth="1"/>
    <col min="11527" max="11527" width="25" customWidth="1"/>
    <col min="11528" max="11529" width="0" hidden="1" customWidth="1"/>
    <col min="11530" max="11530" width="27.77734375" customWidth="1"/>
    <col min="11531" max="11531" width="0" hidden="1" customWidth="1"/>
    <col min="11777" max="11777" width="14.77734375" customWidth="1"/>
    <col min="11778" max="11778" width="9.109375" customWidth="1"/>
    <col min="11779" max="11779" width="46.6640625" customWidth="1"/>
    <col min="11780" max="11780" width="21.109375" customWidth="1"/>
    <col min="11781" max="11781" width="21.44140625" customWidth="1"/>
    <col min="11782" max="11782" width="28.109375" customWidth="1"/>
    <col min="11783" max="11783" width="25" customWidth="1"/>
    <col min="11784" max="11785" width="0" hidden="1" customWidth="1"/>
    <col min="11786" max="11786" width="27.77734375" customWidth="1"/>
    <col min="11787" max="11787" width="0" hidden="1" customWidth="1"/>
    <col min="12033" max="12033" width="14.77734375" customWidth="1"/>
    <col min="12034" max="12034" width="9.109375" customWidth="1"/>
    <col min="12035" max="12035" width="46.6640625" customWidth="1"/>
    <col min="12036" max="12036" width="21.109375" customWidth="1"/>
    <col min="12037" max="12037" width="21.44140625" customWidth="1"/>
    <col min="12038" max="12038" width="28.109375" customWidth="1"/>
    <col min="12039" max="12039" width="25" customWidth="1"/>
    <col min="12040" max="12041" width="0" hidden="1" customWidth="1"/>
    <col min="12042" max="12042" width="27.77734375" customWidth="1"/>
    <col min="12043" max="12043" width="0" hidden="1" customWidth="1"/>
    <col min="12289" max="12289" width="14.77734375" customWidth="1"/>
    <col min="12290" max="12290" width="9.109375" customWidth="1"/>
    <col min="12291" max="12291" width="46.6640625" customWidth="1"/>
    <col min="12292" max="12292" width="21.109375" customWidth="1"/>
    <col min="12293" max="12293" width="21.44140625" customWidth="1"/>
    <col min="12294" max="12294" width="28.109375" customWidth="1"/>
    <col min="12295" max="12295" width="25" customWidth="1"/>
    <col min="12296" max="12297" width="0" hidden="1" customWidth="1"/>
    <col min="12298" max="12298" width="27.77734375" customWidth="1"/>
    <col min="12299" max="12299" width="0" hidden="1" customWidth="1"/>
    <col min="12545" max="12545" width="14.77734375" customWidth="1"/>
    <col min="12546" max="12546" width="9.109375" customWidth="1"/>
    <col min="12547" max="12547" width="46.6640625" customWidth="1"/>
    <col min="12548" max="12548" width="21.109375" customWidth="1"/>
    <col min="12549" max="12549" width="21.44140625" customWidth="1"/>
    <col min="12550" max="12550" width="28.109375" customWidth="1"/>
    <col min="12551" max="12551" width="25" customWidth="1"/>
    <col min="12552" max="12553" width="0" hidden="1" customWidth="1"/>
    <col min="12554" max="12554" width="27.77734375" customWidth="1"/>
    <col min="12555" max="12555" width="0" hidden="1" customWidth="1"/>
    <col min="12801" max="12801" width="14.77734375" customWidth="1"/>
    <col min="12802" max="12802" width="9.109375" customWidth="1"/>
    <col min="12803" max="12803" width="46.6640625" customWidth="1"/>
    <col min="12804" max="12804" width="21.109375" customWidth="1"/>
    <col min="12805" max="12805" width="21.44140625" customWidth="1"/>
    <col min="12806" max="12806" width="28.109375" customWidth="1"/>
    <col min="12807" max="12807" width="25" customWidth="1"/>
    <col min="12808" max="12809" width="0" hidden="1" customWidth="1"/>
    <col min="12810" max="12810" width="27.77734375" customWidth="1"/>
    <col min="12811" max="12811" width="0" hidden="1" customWidth="1"/>
    <col min="13057" max="13057" width="14.77734375" customWidth="1"/>
    <col min="13058" max="13058" width="9.109375" customWidth="1"/>
    <col min="13059" max="13059" width="46.6640625" customWidth="1"/>
    <col min="13060" max="13060" width="21.109375" customWidth="1"/>
    <col min="13061" max="13061" width="21.44140625" customWidth="1"/>
    <col min="13062" max="13062" width="28.109375" customWidth="1"/>
    <col min="13063" max="13063" width="25" customWidth="1"/>
    <col min="13064" max="13065" width="0" hidden="1" customWidth="1"/>
    <col min="13066" max="13066" width="27.77734375" customWidth="1"/>
    <col min="13067" max="13067" width="0" hidden="1" customWidth="1"/>
    <col min="13313" max="13313" width="14.77734375" customWidth="1"/>
    <col min="13314" max="13314" width="9.109375" customWidth="1"/>
    <col min="13315" max="13315" width="46.6640625" customWidth="1"/>
    <col min="13316" max="13316" width="21.109375" customWidth="1"/>
    <col min="13317" max="13317" width="21.44140625" customWidth="1"/>
    <col min="13318" max="13318" width="28.109375" customWidth="1"/>
    <col min="13319" max="13319" width="25" customWidth="1"/>
    <col min="13320" max="13321" width="0" hidden="1" customWidth="1"/>
    <col min="13322" max="13322" width="27.77734375" customWidth="1"/>
    <col min="13323" max="13323" width="0" hidden="1" customWidth="1"/>
    <col min="13569" max="13569" width="14.77734375" customWidth="1"/>
    <col min="13570" max="13570" width="9.109375" customWidth="1"/>
    <col min="13571" max="13571" width="46.6640625" customWidth="1"/>
    <col min="13572" max="13572" width="21.109375" customWidth="1"/>
    <col min="13573" max="13573" width="21.44140625" customWidth="1"/>
    <col min="13574" max="13574" width="28.109375" customWidth="1"/>
    <col min="13575" max="13575" width="25" customWidth="1"/>
    <col min="13576" max="13577" width="0" hidden="1" customWidth="1"/>
    <col min="13578" max="13578" width="27.77734375" customWidth="1"/>
    <col min="13579" max="13579" width="0" hidden="1" customWidth="1"/>
    <col min="13825" max="13825" width="14.77734375" customWidth="1"/>
    <col min="13826" max="13826" width="9.109375" customWidth="1"/>
    <col min="13827" max="13827" width="46.6640625" customWidth="1"/>
    <col min="13828" max="13828" width="21.109375" customWidth="1"/>
    <col min="13829" max="13829" width="21.44140625" customWidth="1"/>
    <col min="13830" max="13830" width="28.109375" customWidth="1"/>
    <col min="13831" max="13831" width="25" customWidth="1"/>
    <col min="13832" max="13833" width="0" hidden="1" customWidth="1"/>
    <col min="13834" max="13834" width="27.77734375" customWidth="1"/>
    <col min="13835" max="13835" width="0" hidden="1" customWidth="1"/>
    <col min="14081" max="14081" width="14.77734375" customWidth="1"/>
    <col min="14082" max="14082" width="9.109375" customWidth="1"/>
    <col min="14083" max="14083" width="46.6640625" customWidth="1"/>
    <col min="14084" max="14084" width="21.109375" customWidth="1"/>
    <col min="14085" max="14085" width="21.44140625" customWidth="1"/>
    <col min="14086" max="14086" width="28.109375" customWidth="1"/>
    <col min="14087" max="14087" width="25" customWidth="1"/>
    <col min="14088" max="14089" width="0" hidden="1" customWidth="1"/>
    <col min="14090" max="14090" width="27.77734375" customWidth="1"/>
    <col min="14091" max="14091" width="0" hidden="1" customWidth="1"/>
    <col min="14337" max="14337" width="14.77734375" customWidth="1"/>
    <col min="14338" max="14338" width="9.109375" customWidth="1"/>
    <col min="14339" max="14339" width="46.6640625" customWidth="1"/>
    <col min="14340" max="14340" width="21.109375" customWidth="1"/>
    <col min="14341" max="14341" width="21.44140625" customWidth="1"/>
    <col min="14342" max="14342" width="28.109375" customWidth="1"/>
    <col min="14343" max="14343" width="25" customWidth="1"/>
    <col min="14344" max="14345" width="0" hidden="1" customWidth="1"/>
    <col min="14346" max="14346" width="27.77734375" customWidth="1"/>
    <col min="14347" max="14347" width="0" hidden="1" customWidth="1"/>
    <col min="14593" max="14593" width="14.77734375" customWidth="1"/>
    <col min="14594" max="14594" width="9.109375" customWidth="1"/>
    <col min="14595" max="14595" width="46.6640625" customWidth="1"/>
    <col min="14596" max="14596" width="21.109375" customWidth="1"/>
    <col min="14597" max="14597" width="21.44140625" customWidth="1"/>
    <col min="14598" max="14598" width="28.109375" customWidth="1"/>
    <col min="14599" max="14599" width="25" customWidth="1"/>
    <col min="14600" max="14601" width="0" hidden="1" customWidth="1"/>
    <col min="14602" max="14602" width="27.77734375" customWidth="1"/>
    <col min="14603" max="14603" width="0" hidden="1" customWidth="1"/>
    <col min="14849" max="14849" width="14.77734375" customWidth="1"/>
    <col min="14850" max="14850" width="9.109375" customWidth="1"/>
    <col min="14851" max="14851" width="46.6640625" customWidth="1"/>
    <col min="14852" max="14852" width="21.109375" customWidth="1"/>
    <col min="14853" max="14853" width="21.44140625" customWidth="1"/>
    <col min="14854" max="14854" width="28.109375" customWidth="1"/>
    <col min="14855" max="14855" width="25" customWidth="1"/>
    <col min="14856" max="14857" width="0" hidden="1" customWidth="1"/>
    <col min="14858" max="14858" width="27.77734375" customWidth="1"/>
    <col min="14859" max="14859" width="0" hidden="1" customWidth="1"/>
    <col min="15105" max="15105" width="14.77734375" customWidth="1"/>
    <col min="15106" max="15106" width="9.109375" customWidth="1"/>
    <col min="15107" max="15107" width="46.6640625" customWidth="1"/>
    <col min="15108" max="15108" width="21.109375" customWidth="1"/>
    <col min="15109" max="15109" width="21.44140625" customWidth="1"/>
    <col min="15110" max="15110" width="28.109375" customWidth="1"/>
    <col min="15111" max="15111" width="25" customWidth="1"/>
    <col min="15112" max="15113" width="0" hidden="1" customWidth="1"/>
    <col min="15114" max="15114" width="27.77734375" customWidth="1"/>
    <col min="15115" max="15115" width="0" hidden="1" customWidth="1"/>
    <col min="15361" max="15361" width="14.77734375" customWidth="1"/>
    <col min="15362" max="15362" width="9.109375" customWidth="1"/>
    <col min="15363" max="15363" width="46.6640625" customWidth="1"/>
    <col min="15364" max="15364" width="21.109375" customWidth="1"/>
    <col min="15365" max="15365" width="21.44140625" customWidth="1"/>
    <col min="15366" max="15366" width="28.109375" customWidth="1"/>
    <col min="15367" max="15367" width="25" customWidth="1"/>
    <col min="15368" max="15369" width="0" hidden="1" customWidth="1"/>
    <col min="15370" max="15370" width="27.77734375" customWidth="1"/>
    <col min="15371" max="15371" width="0" hidden="1" customWidth="1"/>
    <col min="15617" max="15617" width="14.77734375" customWidth="1"/>
    <col min="15618" max="15618" width="9.109375" customWidth="1"/>
    <col min="15619" max="15619" width="46.6640625" customWidth="1"/>
    <col min="15620" max="15620" width="21.109375" customWidth="1"/>
    <col min="15621" max="15621" width="21.44140625" customWidth="1"/>
    <col min="15622" max="15622" width="28.109375" customWidth="1"/>
    <col min="15623" max="15623" width="25" customWidth="1"/>
    <col min="15624" max="15625" width="0" hidden="1" customWidth="1"/>
    <col min="15626" max="15626" width="27.77734375" customWidth="1"/>
    <col min="15627" max="15627" width="0" hidden="1" customWidth="1"/>
    <col min="15873" max="15873" width="14.77734375" customWidth="1"/>
    <col min="15874" max="15874" width="9.109375" customWidth="1"/>
    <col min="15875" max="15875" width="46.6640625" customWidth="1"/>
    <col min="15876" max="15876" width="21.109375" customWidth="1"/>
    <col min="15877" max="15877" width="21.44140625" customWidth="1"/>
    <col min="15878" max="15878" width="28.109375" customWidth="1"/>
    <col min="15879" max="15879" width="25" customWidth="1"/>
    <col min="15880" max="15881" width="0" hidden="1" customWidth="1"/>
    <col min="15882" max="15882" width="27.77734375" customWidth="1"/>
    <col min="15883" max="15883" width="0" hidden="1" customWidth="1"/>
    <col min="16129" max="16129" width="14.77734375" customWidth="1"/>
    <col min="16130" max="16130" width="9.109375" customWidth="1"/>
    <col min="16131" max="16131" width="46.6640625" customWidth="1"/>
    <col min="16132" max="16132" width="21.109375" customWidth="1"/>
    <col min="16133" max="16133" width="21.44140625" customWidth="1"/>
    <col min="16134" max="16134" width="28.109375" customWidth="1"/>
    <col min="16135" max="16135" width="25" customWidth="1"/>
    <col min="16136" max="16137" width="0" hidden="1" customWidth="1"/>
    <col min="16138" max="16138" width="27.77734375" customWidth="1"/>
    <col min="16139" max="16139" width="0" hidden="1" customWidth="1"/>
  </cols>
  <sheetData>
    <row r="1" spans="1:14" ht="23.25" customHeight="1" x14ac:dyDescent="0.3">
      <c r="A1" s="24" t="s">
        <v>0</v>
      </c>
      <c r="B1" s="25"/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4" t="s">
        <v>6</v>
      </c>
      <c r="I1" s="26"/>
      <c r="J1" s="26"/>
      <c r="K1" s="25"/>
      <c r="L1" s="22" t="s">
        <v>166</v>
      </c>
      <c r="M1" s="23"/>
      <c r="N1" s="23"/>
    </row>
    <row r="2" spans="1:14" ht="31.05" customHeight="1" x14ac:dyDescent="0.3">
      <c r="A2" s="17" t="s">
        <v>7</v>
      </c>
      <c r="B2" s="18"/>
      <c r="C2" s="3" t="s">
        <v>8</v>
      </c>
      <c r="D2" s="4" t="s">
        <v>9</v>
      </c>
      <c r="E2" s="5"/>
      <c r="F2" s="6"/>
      <c r="G2" s="6">
        <v>2278533</v>
      </c>
      <c r="H2" s="19">
        <v>0</v>
      </c>
      <c r="I2" s="20"/>
      <c r="J2" s="20"/>
      <c r="K2" s="21"/>
      <c r="L2" s="14" t="s">
        <v>204</v>
      </c>
    </row>
    <row r="3" spans="1:14" ht="31.05" customHeight="1" x14ac:dyDescent="0.3">
      <c r="A3" s="17" t="s">
        <v>7</v>
      </c>
      <c r="B3" s="18"/>
      <c r="C3" s="3" t="s">
        <v>10</v>
      </c>
      <c r="D3" s="4" t="s">
        <v>11</v>
      </c>
      <c r="E3" s="5"/>
      <c r="F3" s="6"/>
      <c r="G3" s="6">
        <v>43999</v>
      </c>
      <c r="H3" s="19">
        <v>-2278533</v>
      </c>
      <c r="I3" s="20"/>
      <c r="J3" s="20"/>
      <c r="K3" s="21"/>
      <c r="L3" s="15" t="s">
        <v>185</v>
      </c>
    </row>
    <row r="4" spans="1:14" ht="31.05" customHeight="1" x14ac:dyDescent="0.3">
      <c r="A4" s="17" t="s">
        <v>7</v>
      </c>
      <c r="B4" s="18"/>
      <c r="C4" s="3" t="s">
        <v>12</v>
      </c>
      <c r="D4" s="4" t="s">
        <v>11</v>
      </c>
      <c r="E4" s="5"/>
      <c r="F4" s="6"/>
      <c r="G4" s="6">
        <v>1426479</v>
      </c>
      <c r="H4" s="19">
        <v>-2322532</v>
      </c>
      <c r="I4" s="20"/>
      <c r="J4" s="20"/>
      <c r="K4" s="21"/>
      <c r="L4" s="15" t="s">
        <v>185</v>
      </c>
    </row>
    <row r="5" spans="1:14" ht="31.05" customHeight="1" x14ac:dyDescent="0.3">
      <c r="A5" s="17" t="s">
        <v>7</v>
      </c>
      <c r="B5" s="18"/>
      <c r="C5" s="3" t="s">
        <v>13</v>
      </c>
      <c r="D5" s="4" t="s">
        <v>11</v>
      </c>
      <c r="E5" s="5"/>
      <c r="F5" s="6"/>
      <c r="G5" s="6">
        <v>141993</v>
      </c>
      <c r="H5" s="19">
        <v>-3749011</v>
      </c>
      <c r="I5" s="20"/>
      <c r="J5" s="20"/>
      <c r="K5" s="21"/>
      <c r="L5" s="15" t="s">
        <v>185</v>
      </c>
    </row>
    <row r="6" spans="1:14" ht="31.05" customHeight="1" x14ac:dyDescent="0.3">
      <c r="A6" s="17" t="s">
        <v>7</v>
      </c>
      <c r="B6" s="18"/>
      <c r="C6" s="3" t="s">
        <v>14</v>
      </c>
      <c r="D6" s="4" t="s">
        <v>11</v>
      </c>
      <c r="E6" s="5"/>
      <c r="F6" s="6"/>
      <c r="G6" s="6">
        <v>28120</v>
      </c>
      <c r="H6" s="19">
        <v>-3891004</v>
      </c>
      <c r="I6" s="20"/>
      <c r="J6" s="20"/>
      <c r="K6" s="21"/>
      <c r="L6" s="15" t="s">
        <v>185</v>
      </c>
    </row>
    <row r="7" spans="1:14" ht="31.05" customHeight="1" x14ac:dyDescent="0.3">
      <c r="A7" s="17" t="s">
        <v>7</v>
      </c>
      <c r="B7" s="18"/>
      <c r="C7" s="3" t="s">
        <v>15</v>
      </c>
      <c r="D7" s="4" t="s">
        <v>11</v>
      </c>
      <c r="E7" s="5"/>
      <c r="F7" s="6"/>
      <c r="G7" s="6">
        <v>130937</v>
      </c>
      <c r="H7" s="19">
        <v>-3919124</v>
      </c>
      <c r="I7" s="20"/>
      <c r="J7" s="20"/>
      <c r="K7" s="21"/>
      <c r="L7" s="15" t="s">
        <v>185</v>
      </c>
    </row>
    <row r="8" spans="1:14" ht="31.05" customHeight="1" x14ac:dyDescent="0.3">
      <c r="A8" s="17" t="s">
        <v>7</v>
      </c>
      <c r="B8" s="18"/>
      <c r="C8" s="3" t="s">
        <v>16</v>
      </c>
      <c r="D8" s="4" t="s">
        <v>11</v>
      </c>
      <c r="E8" s="5"/>
      <c r="F8" s="6">
        <v>297500</v>
      </c>
      <c r="G8" s="6"/>
      <c r="H8" s="19">
        <v>-4050061</v>
      </c>
      <c r="I8" s="20"/>
      <c r="J8" s="20"/>
      <c r="K8" s="21"/>
      <c r="L8" s="15" t="s">
        <v>203</v>
      </c>
    </row>
    <row r="9" spans="1:14" ht="31.05" customHeight="1" x14ac:dyDescent="0.3">
      <c r="A9" s="17" t="s">
        <v>7</v>
      </c>
      <c r="B9" s="18"/>
      <c r="C9" s="3" t="s">
        <v>17</v>
      </c>
      <c r="D9" s="4" t="s">
        <v>18</v>
      </c>
      <c r="E9" s="5"/>
      <c r="F9" s="6"/>
      <c r="G9" s="6">
        <v>105541</v>
      </c>
      <c r="H9" s="19">
        <v>-3752561</v>
      </c>
      <c r="I9" s="20"/>
      <c r="J9" s="20"/>
      <c r="K9" s="21"/>
      <c r="L9" s="15" t="s">
        <v>185</v>
      </c>
    </row>
    <row r="10" spans="1:14" ht="31.05" customHeight="1" x14ac:dyDescent="0.3">
      <c r="A10" s="17" t="s">
        <v>7</v>
      </c>
      <c r="B10" s="18"/>
      <c r="C10" s="3" t="s">
        <v>19</v>
      </c>
      <c r="D10" s="4" t="s">
        <v>18</v>
      </c>
      <c r="E10" s="5"/>
      <c r="F10" s="6">
        <v>5477608</v>
      </c>
      <c r="G10" s="6"/>
      <c r="H10" s="19">
        <v>-3858102</v>
      </c>
      <c r="I10" s="20"/>
      <c r="J10" s="20"/>
      <c r="K10" s="21"/>
      <c r="L10" s="15" t="s">
        <v>203</v>
      </c>
    </row>
    <row r="11" spans="1:14" ht="31.05" customHeight="1" x14ac:dyDescent="0.3">
      <c r="A11" s="17" t="s">
        <v>7</v>
      </c>
      <c r="B11" s="18"/>
      <c r="C11" s="3" t="s">
        <v>20</v>
      </c>
      <c r="D11" s="4" t="s">
        <v>11</v>
      </c>
      <c r="E11" s="5"/>
      <c r="F11" s="6"/>
      <c r="G11" s="6">
        <v>181489</v>
      </c>
      <c r="H11" s="19">
        <v>1619506</v>
      </c>
      <c r="I11" s="20"/>
      <c r="J11" s="20"/>
      <c r="K11" s="21"/>
      <c r="L11" s="15" t="s">
        <v>185</v>
      </c>
    </row>
    <row r="12" spans="1:14" ht="31.05" customHeight="1" x14ac:dyDescent="0.3">
      <c r="A12" s="17" t="s">
        <v>7</v>
      </c>
      <c r="B12" s="18"/>
      <c r="C12" s="3" t="s">
        <v>21</v>
      </c>
      <c r="D12" s="4" t="s">
        <v>18</v>
      </c>
      <c r="E12" s="5"/>
      <c r="F12" s="6"/>
      <c r="G12" s="6">
        <v>79399</v>
      </c>
      <c r="H12" s="19">
        <v>1438017</v>
      </c>
      <c r="I12" s="20"/>
      <c r="J12" s="20"/>
      <c r="K12" s="21"/>
      <c r="L12" s="15" t="s">
        <v>185</v>
      </c>
    </row>
    <row r="13" spans="1:14" ht="31.05" customHeight="1" x14ac:dyDescent="0.3">
      <c r="A13" s="17" t="s">
        <v>7</v>
      </c>
      <c r="B13" s="18"/>
      <c r="C13" s="3" t="s">
        <v>22</v>
      </c>
      <c r="D13" s="4" t="s">
        <v>18</v>
      </c>
      <c r="E13" s="5"/>
      <c r="F13" s="6">
        <v>8042</v>
      </c>
      <c r="G13" s="6"/>
      <c r="H13" s="19">
        <v>1358618</v>
      </c>
      <c r="I13" s="20"/>
      <c r="J13" s="20"/>
      <c r="K13" s="21"/>
      <c r="L13" s="15" t="s">
        <v>198</v>
      </c>
    </row>
    <row r="14" spans="1:14" ht="31.05" customHeight="1" x14ac:dyDescent="0.3">
      <c r="A14" s="17" t="s">
        <v>23</v>
      </c>
      <c r="B14" s="18"/>
      <c r="C14" s="3" t="s">
        <v>24</v>
      </c>
      <c r="D14" s="4" t="s">
        <v>11</v>
      </c>
      <c r="E14" s="5"/>
      <c r="F14" s="6">
        <v>79004</v>
      </c>
      <c r="G14" s="6"/>
      <c r="H14" s="19">
        <v>1366660</v>
      </c>
      <c r="I14" s="20"/>
      <c r="J14" s="20"/>
      <c r="K14" s="21"/>
      <c r="L14" s="15" t="s">
        <v>206</v>
      </c>
    </row>
    <row r="15" spans="1:14" ht="31.05" customHeight="1" x14ac:dyDescent="0.3">
      <c r="A15" s="17" t="s">
        <v>23</v>
      </c>
      <c r="B15" s="18"/>
      <c r="C15" s="3" t="s">
        <v>25</v>
      </c>
      <c r="D15" s="4" t="s">
        <v>11</v>
      </c>
      <c r="E15" s="5"/>
      <c r="F15" s="6"/>
      <c r="G15" s="6">
        <v>141753</v>
      </c>
      <c r="H15" s="19">
        <v>1445664</v>
      </c>
      <c r="I15" s="20"/>
      <c r="J15" s="20"/>
      <c r="K15" s="21"/>
      <c r="L15" s="15" t="s">
        <v>185</v>
      </c>
    </row>
    <row r="16" spans="1:14" ht="31.05" customHeight="1" x14ac:dyDescent="0.3">
      <c r="A16" s="17" t="s">
        <v>23</v>
      </c>
      <c r="B16" s="18"/>
      <c r="C16" s="3" t="s">
        <v>26</v>
      </c>
      <c r="D16" s="4" t="s">
        <v>18</v>
      </c>
      <c r="E16" s="5"/>
      <c r="F16" s="6">
        <v>12932402</v>
      </c>
      <c r="G16" s="6"/>
      <c r="H16" s="19">
        <v>1303911</v>
      </c>
      <c r="I16" s="20"/>
      <c r="J16" s="20"/>
      <c r="K16" s="21"/>
      <c r="L16" s="15" t="s">
        <v>191</v>
      </c>
    </row>
    <row r="17" spans="1:12" ht="31.05" customHeight="1" x14ac:dyDescent="0.3">
      <c r="A17" s="17" t="s">
        <v>23</v>
      </c>
      <c r="B17" s="18"/>
      <c r="C17" s="3" t="s">
        <v>27</v>
      </c>
      <c r="D17" s="4" t="s">
        <v>18</v>
      </c>
      <c r="E17" s="5"/>
      <c r="F17" s="6">
        <v>400054</v>
      </c>
      <c r="G17" s="6"/>
      <c r="H17" s="19">
        <v>14236313</v>
      </c>
      <c r="I17" s="20"/>
      <c r="J17" s="20"/>
      <c r="K17" s="21"/>
      <c r="L17" s="15" t="s">
        <v>191</v>
      </c>
    </row>
    <row r="18" spans="1:12" ht="31.05" customHeight="1" x14ac:dyDescent="0.3">
      <c r="A18" s="17" t="s">
        <v>23</v>
      </c>
      <c r="B18" s="18"/>
      <c r="C18" s="3" t="s">
        <v>28</v>
      </c>
      <c r="D18" s="4" t="s">
        <v>18</v>
      </c>
      <c r="E18" s="5"/>
      <c r="F18" s="6">
        <v>143439</v>
      </c>
      <c r="G18" s="6"/>
      <c r="H18" s="19">
        <v>14636367</v>
      </c>
      <c r="I18" s="20"/>
      <c r="J18" s="20"/>
      <c r="K18" s="21"/>
      <c r="L18" s="15" t="s">
        <v>203</v>
      </c>
    </row>
    <row r="19" spans="1:12" ht="31.05" customHeight="1" x14ac:dyDescent="0.3">
      <c r="A19" s="17" t="s">
        <v>23</v>
      </c>
      <c r="B19" s="18"/>
      <c r="C19" s="3" t="s">
        <v>17</v>
      </c>
      <c r="D19" s="4" t="s">
        <v>18</v>
      </c>
      <c r="E19" s="5"/>
      <c r="F19" s="6"/>
      <c r="G19" s="6">
        <v>18327</v>
      </c>
      <c r="H19" s="19">
        <v>14779806</v>
      </c>
      <c r="I19" s="20"/>
      <c r="J19" s="20"/>
      <c r="K19" s="21"/>
      <c r="L19" s="15" t="s">
        <v>185</v>
      </c>
    </row>
    <row r="20" spans="1:12" ht="31.05" customHeight="1" x14ac:dyDescent="0.3">
      <c r="A20" s="17" t="s">
        <v>23</v>
      </c>
      <c r="B20" s="18"/>
      <c r="C20" s="3" t="s">
        <v>29</v>
      </c>
      <c r="D20" s="4" t="s">
        <v>11</v>
      </c>
      <c r="E20" s="5"/>
      <c r="F20" s="6"/>
      <c r="G20" s="6">
        <v>711982</v>
      </c>
      <c r="H20" s="19">
        <v>14761479</v>
      </c>
      <c r="I20" s="20"/>
      <c r="J20" s="20"/>
      <c r="K20" s="21"/>
      <c r="L20" s="15" t="s">
        <v>185</v>
      </c>
    </row>
    <row r="21" spans="1:12" ht="31.05" customHeight="1" x14ac:dyDescent="0.3">
      <c r="A21" s="17" t="s">
        <v>23</v>
      </c>
      <c r="B21" s="18"/>
      <c r="C21" s="3" t="s">
        <v>30</v>
      </c>
      <c r="D21" s="4" t="s">
        <v>11</v>
      </c>
      <c r="E21" s="5"/>
      <c r="F21" s="6"/>
      <c r="G21" s="6">
        <v>1783364</v>
      </c>
      <c r="H21" s="19">
        <v>14049497</v>
      </c>
      <c r="I21" s="20"/>
      <c r="J21" s="20"/>
      <c r="K21" s="21"/>
      <c r="L21" s="15" t="s">
        <v>185</v>
      </c>
    </row>
    <row r="22" spans="1:12" ht="31.05" customHeight="1" x14ac:dyDescent="0.3">
      <c r="A22" s="17" t="s">
        <v>23</v>
      </c>
      <c r="B22" s="18"/>
      <c r="C22" s="3" t="s">
        <v>31</v>
      </c>
      <c r="D22" s="4" t="s">
        <v>18</v>
      </c>
      <c r="E22" s="5"/>
      <c r="F22" s="6"/>
      <c r="G22" s="6">
        <v>417690</v>
      </c>
      <c r="H22" s="19">
        <v>12266133</v>
      </c>
      <c r="I22" s="20"/>
      <c r="J22" s="20"/>
      <c r="K22" s="21"/>
      <c r="L22" s="15" t="s">
        <v>185</v>
      </c>
    </row>
    <row r="23" spans="1:12" ht="31.05" customHeight="1" x14ac:dyDescent="0.3">
      <c r="A23" s="17" t="s">
        <v>23</v>
      </c>
      <c r="B23" s="18"/>
      <c r="C23" s="3" t="s">
        <v>32</v>
      </c>
      <c r="D23" s="4" t="s">
        <v>18</v>
      </c>
      <c r="E23" s="5"/>
      <c r="F23" s="6"/>
      <c r="G23" s="6">
        <v>411264</v>
      </c>
      <c r="H23" s="19">
        <v>11848443</v>
      </c>
      <c r="I23" s="20"/>
      <c r="J23" s="20"/>
      <c r="K23" s="21"/>
      <c r="L23" s="15" t="s">
        <v>185</v>
      </c>
    </row>
    <row r="24" spans="1:12" ht="31.05" customHeight="1" x14ac:dyDescent="0.3">
      <c r="A24" s="17" t="s">
        <v>23</v>
      </c>
      <c r="B24" s="18"/>
      <c r="C24" s="3" t="s">
        <v>33</v>
      </c>
      <c r="D24" s="4" t="s">
        <v>18</v>
      </c>
      <c r="E24" s="5"/>
      <c r="F24" s="6"/>
      <c r="G24" s="6">
        <v>642600</v>
      </c>
      <c r="H24" s="19">
        <v>11437179</v>
      </c>
      <c r="I24" s="20"/>
      <c r="J24" s="20"/>
      <c r="K24" s="21"/>
      <c r="L24" s="15" t="s">
        <v>185</v>
      </c>
    </row>
    <row r="25" spans="1:12" ht="31.05" customHeight="1" x14ac:dyDescent="0.3">
      <c r="A25" s="17" t="s">
        <v>23</v>
      </c>
      <c r="B25" s="18"/>
      <c r="C25" s="3" t="s">
        <v>34</v>
      </c>
      <c r="D25" s="4" t="s">
        <v>18</v>
      </c>
      <c r="E25" s="5"/>
      <c r="F25" s="6"/>
      <c r="G25" s="6">
        <v>50250</v>
      </c>
      <c r="H25" s="19">
        <v>10794579</v>
      </c>
      <c r="I25" s="20"/>
      <c r="J25" s="20"/>
      <c r="K25" s="21"/>
      <c r="L25" s="15" t="s">
        <v>185</v>
      </c>
    </row>
    <row r="26" spans="1:12" ht="31.05" customHeight="1" x14ac:dyDescent="0.3">
      <c r="A26" s="17" t="s">
        <v>23</v>
      </c>
      <c r="B26" s="18"/>
      <c r="C26" s="3" t="s">
        <v>35</v>
      </c>
      <c r="D26" s="4" t="s">
        <v>18</v>
      </c>
      <c r="E26" s="5"/>
      <c r="F26" s="6"/>
      <c r="G26" s="6">
        <v>89321</v>
      </c>
      <c r="H26" s="19">
        <v>10744329</v>
      </c>
      <c r="I26" s="20"/>
      <c r="J26" s="20"/>
      <c r="K26" s="21"/>
      <c r="L26" s="15" t="s">
        <v>185</v>
      </c>
    </row>
    <row r="27" spans="1:12" ht="31.05" customHeight="1" x14ac:dyDescent="0.3">
      <c r="A27" s="17" t="s">
        <v>23</v>
      </c>
      <c r="B27" s="18"/>
      <c r="C27" s="3" t="s">
        <v>36</v>
      </c>
      <c r="D27" s="4" t="s">
        <v>11</v>
      </c>
      <c r="E27" s="5"/>
      <c r="F27" s="6"/>
      <c r="G27" s="6">
        <v>59990</v>
      </c>
      <c r="H27" s="19">
        <v>10655008</v>
      </c>
      <c r="I27" s="20"/>
      <c r="J27" s="20"/>
      <c r="K27" s="21"/>
      <c r="L27" s="15" t="s">
        <v>185</v>
      </c>
    </row>
    <row r="28" spans="1:12" ht="31.05" customHeight="1" x14ac:dyDescent="0.3">
      <c r="A28" s="17" t="s">
        <v>23</v>
      </c>
      <c r="B28" s="18"/>
      <c r="C28" s="3" t="s">
        <v>37</v>
      </c>
      <c r="D28" s="4" t="s">
        <v>11</v>
      </c>
      <c r="E28" s="5"/>
      <c r="F28" s="6"/>
      <c r="G28" s="6">
        <v>16980</v>
      </c>
      <c r="H28" s="19">
        <v>10595018</v>
      </c>
      <c r="I28" s="20"/>
      <c r="J28" s="20"/>
      <c r="K28" s="21"/>
      <c r="L28" s="15" t="s">
        <v>185</v>
      </c>
    </row>
    <row r="29" spans="1:12" ht="31.05" customHeight="1" x14ac:dyDescent="0.3">
      <c r="A29" s="17" t="s">
        <v>23</v>
      </c>
      <c r="B29" s="18"/>
      <c r="C29" s="3" t="s">
        <v>38</v>
      </c>
      <c r="D29" s="4" t="s">
        <v>11</v>
      </c>
      <c r="E29" s="5"/>
      <c r="F29" s="6"/>
      <c r="G29" s="6">
        <v>92110</v>
      </c>
      <c r="H29" s="19">
        <v>10578038</v>
      </c>
      <c r="I29" s="20"/>
      <c r="J29" s="20"/>
      <c r="K29" s="21"/>
      <c r="L29" s="15" t="s">
        <v>185</v>
      </c>
    </row>
    <row r="30" spans="1:12" ht="31.05" customHeight="1" x14ac:dyDescent="0.3">
      <c r="A30" s="17" t="s">
        <v>23</v>
      </c>
      <c r="B30" s="18"/>
      <c r="C30" s="3" t="s">
        <v>39</v>
      </c>
      <c r="D30" s="4" t="s">
        <v>11</v>
      </c>
      <c r="E30" s="5"/>
      <c r="F30" s="6"/>
      <c r="G30" s="6">
        <v>190000</v>
      </c>
      <c r="H30" s="19">
        <v>10485928</v>
      </c>
      <c r="I30" s="20"/>
      <c r="J30" s="20"/>
      <c r="K30" s="21"/>
      <c r="L30" s="15" t="s">
        <v>185</v>
      </c>
    </row>
    <row r="31" spans="1:12" ht="31.05" customHeight="1" x14ac:dyDescent="0.3">
      <c r="A31" s="17" t="s">
        <v>40</v>
      </c>
      <c r="B31" s="18"/>
      <c r="C31" s="3" t="s">
        <v>41</v>
      </c>
      <c r="D31" s="4" t="s">
        <v>42</v>
      </c>
      <c r="E31" s="5" t="s">
        <v>43</v>
      </c>
      <c r="F31" s="6"/>
      <c r="G31" s="6">
        <v>32448</v>
      </c>
      <c r="H31" s="19">
        <v>10295928</v>
      </c>
      <c r="I31" s="20"/>
      <c r="J31" s="20"/>
      <c r="K31" s="21"/>
      <c r="L31" s="15" t="s">
        <v>185</v>
      </c>
    </row>
    <row r="32" spans="1:12" ht="31.05" customHeight="1" x14ac:dyDescent="0.3">
      <c r="A32" s="17" t="s">
        <v>40</v>
      </c>
      <c r="B32" s="18"/>
      <c r="C32" s="3" t="s">
        <v>44</v>
      </c>
      <c r="D32" s="4" t="s">
        <v>11</v>
      </c>
      <c r="E32" s="5"/>
      <c r="F32" s="6"/>
      <c r="G32" s="6">
        <v>55950</v>
      </c>
      <c r="H32" s="19">
        <v>10263480</v>
      </c>
      <c r="I32" s="20"/>
      <c r="J32" s="20"/>
      <c r="K32" s="21"/>
      <c r="L32" s="15" t="s">
        <v>185</v>
      </c>
    </row>
    <row r="33" spans="1:12" ht="31.05" customHeight="1" x14ac:dyDescent="0.3">
      <c r="A33" s="17" t="s">
        <v>40</v>
      </c>
      <c r="B33" s="18"/>
      <c r="C33" s="3" t="s">
        <v>45</v>
      </c>
      <c r="D33" s="4" t="s">
        <v>18</v>
      </c>
      <c r="E33" s="5"/>
      <c r="F33" s="6"/>
      <c r="G33" s="6">
        <v>28579</v>
      </c>
      <c r="H33" s="19">
        <v>10207530</v>
      </c>
      <c r="I33" s="20"/>
      <c r="J33" s="20"/>
      <c r="K33" s="21"/>
      <c r="L33" s="15" t="s">
        <v>185</v>
      </c>
    </row>
    <row r="34" spans="1:12" ht="31.05" customHeight="1" x14ac:dyDescent="0.3">
      <c r="A34" s="17" t="s">
        <v>40</v>
      </c>
      <c r="B34" s="18"/>
      <c r="C34" s="3" t="s">
        <v>45</v>
      </c>
      <c r="D34" s="4" t="s">
        <v>18</v>
      </c>
      <c r="E34" s="5"/>
      <c r="F34" s="6"/>
      <c r="G34" s="6">
        <v>28660</v>
      </c>
      <c r="H34" s="19">
        <v>10178951</v>
      </c>
      <c r="I34" s="20"/>
      <c r="J34" s="20"/>
      <c r="K34" s="21"/>
      <c r="L34" s="15" t="s">
        <v>185</v>
      </c>
    </row>
    <row r="35" spans="1:12" ht="31.05" customHeight="1" x14ac:dyDescent="0.3">
      <c r="A35" s="17" t="s">
        <v>40</v>
      </c>
      <c r="B35" s="18"/>
      <c r="C35" s="3" t="s">
        <v>45</v>
      </c>
      <c r="D35" s="4" t="s">
        <v>18</v>
      </c>
      <c r="E35" s="5"/>
      <c r="F35" s="6"/>
      <c r="G35" s="6">
        <v>37890</v>
      </c>
      <c r="H35" s="19">
        <v>10150291</v>
      </c>
      <c r="I35" s="20"/>
      <c r="J35" s="20"/>
      <c r="K35" s="21"/>
      <c r="L35" s="15" t="s">
        <v>185</v>
      </c>
    </row>
    <row r="36" spans="1:12" ht="31.05" customHeight="1" x14ac:dyDescent="0.3">
      <c r="A36" s="17" t="s">
        <v>40</v>
      </c>
      <c r="B36" s="18"/>
      <c r="C36" s="3" t="s">
        <v>19</v>
      </c>
      <c r="D36" s="4" t="s">
        <v>18</v>
      </c>
      <c r="E36" s="5"/>
      <c r="F36" s="6">
        <v>726681</v>
      </c>
      <c r="G36" s="6"/>
      <c r="H36" s="19">
        <v>10112401</v>
      </c>
      <c r="I36" s="20"/>
      <c r="J36" s="20"/>
      <c r="K36" s="21"/>
      <c r="L36" s="15" t="s">
        <v>203</v>
      </c>
    </row>
    <row r="37" spans="1:12" ht="31.05" customHeight="1" x14ac:dyDescent="0.3">
      <c r="A37" s="17" t="s">
        <v>40</v>
      </c>
      <c r="B37" s="18"/>
      <c r="C37" s="3" t="s">
        <v>17</v>
      </c>
      <c r="D37" s="4" t="s">
        <v>18</v>
      </c>
      <c r="E37" s="5"/>
      <c r="F37" s="6"/>
      <c r="G37" s="6">
        <v>106931</v>
      </c>
      <c r="H37" s="19">
        <v>10839082</v>
      </c>
      <c r="I37" s="20"/>
      <c r="J37" s="20"/>
      <c r="K37" s="21"/>
      <c r="L37" s="15" t="s">
        <v>185</v>
      </c>
    </row>
    <row r="38" spans="1:12" ht="31.05" customHeight="1" x14ac:dyDescent="0.3">
      <c r="A38" s="17" t="s">
        <v>40</v>
      </c>
      <c r="B38" s="18"/>
      <c r="C38" s="3" t="s">
        <v>30</v>
      </c>
      <c r="D38" s="4" t="s">
        <v>11</v>
      </c>
      <c r="E38" s="5"/>
      <c r="F38" s="6"/>
      <c r="G38" s="6">
        <v>467354</v>
      </c>
      <c r="H38" s="19">
        <v>10732151</v>
      </c>
      <c r="I38" s="20"/>
      <c r="J38" s="20"/>
      <c r="K38" s="21"/>
      <c r="L38" s="15" t="s">
        <v>185</v>
      </c>
    </row>
    <row r="39" spans="1:12" ht="31.05" customHeight="1" x14ac:dyDescent="0.3">
      <c r="A39" s="17" t="s">
        <v>40</v>
      </c>
      <c r="B39" s="18"/>
      <c r="C39" s="3" t="s">
        <v>46</v>
      </c>
      <c r="D39" s="4" t="s">
        <v>11</v>
      </c>
      <c r="E39" s="5"/>
      <c r="F39" s="6"/>
      <c r="G39" s="6">
        <v>162097</v>
      </c>
      <c r="H39" s="19">
        <v>10264797</v>
      </c>
      <c r="I39" s="20"/>
      <c r="J39" s="20"/>
      <c r="K39" s="21"/>
      <c r="L39" s="15" t="s">
        <v>185</v>
      </c>
    </row>
    <row r="40" spans="1:12" ht="31.05" customHeight="1" x14ac:dyDescent="0.3">
      <c r="A40" s="17" t="s">
        <v>47</v>
      </c>
      <c r="B40" s="18"/>
      <c r="C40" s="3" t="s">
        <v>48</v>
      </c>
      <c r="D40" s="4" t="s">
        <v>9</v>
      </c>
      <c r="E40" s="5"/>
      <c r="F40" s="6">
        <v>1804820</v>
      </c>
      <c r="G40" s="6"/>
      <c r="H40" s="19">
        <v>10102700</v>
      </c>
      <c r="I40" s="20"/>
      <c r="J40" s="20"/>
      <c r="K40" s="21"/>
      <c r="L40" s="14" t="s">
        <v>204</v>
      </c>
    </row>
    <row r="41" spans="1:12" ht="31.05" customHeight="1" x14ac:dyDescent="0.3">
      <c r="A41" s="17" t="s">
        <v>47</v>
      </c>
      <c r="B41" s="18"/>
      <c r="C41" s="3" t="s">
        <v>49</v>
      </c>
      <c r="D41" s="4" t="s">
        <v>18</v>
      </c>
      <c r="E41" s="5"/>
      <c r="F41" s="6"/>
      <c r="G41" s="6">
        <v>13781349</v>
      </c>
      <c r="H41" s="19">
        <v>11907520</v>
      </c>
      <c r="I41" s="20"/>
      <c r="J41" s="20"/>
      <c r="K41" s="21"/>
      <c r="L41" s="15" t="s">
        <v>185</v>
      </c>
    </row>
    <row r="42" spans="1:12" ht="31.05" customHeight="1" x14ac:dyDescent="0.3">
      <c r="A42" s="17" t="s">
        <v>47</v>
      </c>
      <c r="B42" s="18"/>
      <c r="C42" s="3" t="s">
        <v>50</v>
      </c>
      <c r="D42" s="4" t="s">
        <v>11</v>
      </c>
      <c r="E42" s="5"/>
      <c r="F42" s="6"/>
      <c r="G42" s="6">
        <v>183261</v>
      </c>
      <c r="H42" s="19">
        <v>-1873829</v>
      </c>
      <c r="I42" s="20"/>
      <c r="J42" s="20"/>
      <c r="K42" s="21"/>
      <c r="L42" s="15" t="s">
        <v>185</v>
      </c>
    </row>
    <row r="43" spans="1:12" ht="31.05" customHeight="1" x14ac:dyDescent="0.3">
      <c r="A43" s="17" t="s">
        <v>47</v>
      </c>
      <c r="B43" s="18"/>
      <c r="C43" s="3" t="s">
        <v>51</v>
      </c>
      <c r="D43" s="4" t="s">
        <v>11</v>
      </c>
      <c r="E43" s="5"/>
      <c r="F43" s="6"/>
      <c r="G43" s="6">
        <v>600000</v>
      </c>
      <c r="H43" s="19">
        <v>-2057090</v>
      </c>
      <c r="I43" s="20"/>
      <c r="J43" s="20"/>
      <c r="K43" s="21"/>
      <c r="L43" s="15" t="s">
        <v>185</v>
      </c>
    </row>
    <row r="44" spans="1:12" ht="31.05" customHeight="1" x14ac:dyDescent="0.3">
      <c r="A44" s="17" t="s">
        <v>47</v>
      </c>
      <c r="B44" s="18"/>
      <c r="C44" s="3" t="s">
        <v>52</v>
      </c>
      <c r="D44" s="4" t="s">
        <v>11</v>
      </c>
      <c r="E44" s="5"/>
      <c r="F44" s="6">
        <v>1945650</v>
      </c>
      <c r="G44" s="6"/>
      <c r="H44" s="19">
        <v>-2657090</v>
      </c>
      <c r="I44" s="20"/>
      <c r="J44" s="20"/>
      <c r="K44" s="21"/>
      <c r="L44" s="15" t="s">
        <v>206</v>
      </c>
    </row>
    <row r="45" spans="1:12" ht="31.05" customHeight="1" x14ac:dyDescent="0.3">
      <c r="A45" s="17" t="s">
        <v>47</v>
      </c>
      <c r="B45" s="18"/>
      <c r="C45" s="3" t="s">
        <v>53</v>
      </c>
      <c r="D45" s="4" t="s">
        <v>11</v>
      </c>
      <c r="E45" s="5"/>
      <c r="F45" s="6"/>
      <c r="G45" s="6">
        <v>44566</v>
      </c>
      <c r="H45" s="19">
        <v>-711440</v>
      </c>
      <c r="I45" s="20"/>
      <c r="J45" s="20"/>
      <c r="K45" s="21"/>
      <c r="L45" s="15" t="s">
        <v>185</v>
      </c>
    </row>
    <row r="46" spans="1:12" ht="31.05" customHeight="1" x14ac:dyDescent="0.3">
      <c r="A46" s="17" t="s">
        <v>47</v>
      </c>
      <c r="B46" s="18"/>
      <c r="C46" s="3" t="s">
        <v>54</v>
      </c>
      <c r="D46" s="4" t="s">
        <v>11</v>
      </c>
      <c r="E46" s="5"/>
      <c r="F46" s="6">
        <v>1139053</v>
      </c>
      <c r="G46" s="6"/>
      <c r="H46" s="19">
        <v>-756006</v>
      </c>
      <c r="I46" s="20"/>
      <c r="J46" s="20"/>
      <c r="K46" s="21"/>
      <c r="L46" s="15" t="s">
        <v>206</v>
      </c>
    </row>
    <row r="47" spans="1:12" ht="31.05" customHeight="1" x14ac:dyDescent="0.3">
      <c r="A47" s="17" t="s">
        <v>47</v>
      </c>
      <c r="B47" s="18"/>
      <c r="C47" s="3" t="s">
        <v>55</v>
      </c>
      <c r="D47" s="4" t="s">
        <v>11</v>
      </c>
      <c r="E47" s="5"/>
      <c r="F47" s="6"/>
      <c r="G47" s="6">
        <v>111930</v>
      </c>
      <c r="H47" s="19">
        <v>383047</v>
      </c>
      <c r="I47" s="20"/>
      <c r="J47" s="20"/>
      <c r="K47" s="21"/>
      <c r="L47" s="15" t="s">
        <v>185</v>
      </c>
    </row>
    <row r="48" spans="1:12" ht="31.05" customHeight="1" x14ac:dyDescent="0.3">
      <c r="A48" s="17" t="s">
        <v>47</v>
      </c>
      <c r="B48" s="18"/>
      <c r="C48" s="3" t="s">
        <v>56</v>
      </c>
      <c r="D48" s="4" t="s">
        <v>11</v>
      </c>
      <c r="E48" s="5"/>
      <c r="F48" s="6"/>
      <c r="G48" s="6">
        <v>128825</v>
      </c>
      <c r="H48" s="19">
        <v>271117</v>
      </c>
      <c r="I48" s="20"/>
      <c r="J48" s="20"/>
      <c r="K48" s="21"/>
      <c r="L48" s="15" t="s">
        <v>185</v>
      </c>
    </row>
    <row r="49" spans="1:12" ht="31.05" customHeight="1" x14ac:dyDescent="0.3">
      <c r="A49" s="17" t="s">
        <v>47</v>
      </c>
      <c r="B49" s="18"/>
      <c r="C49" s="3" t="s">
        <v>17</v>
      </c>
      <c r="D49" s="4" t="s">
        <v>18</v>
      </c>
      <c r="E49" s="5"/>
      <c r="F49" s="6"/>
      <c r="G49" s="6">
        <v>76312</v>
      </c>
      <c r="H49" s="19">
        <v>142292</v>
      </c>
      <c r="I49" s="20"/>
      <c r="J49" s="20"/>
      <c r="K49" s="21"/>
      <c r="L49" s="15" t="s">
        <v>185</v>
      </c>
    </row>
    <row r="50" spans="1:12" ht="31.05" customHeight="1" x14ac:dyDescent="0.3">
      <c r="A50" s="17" t="s">
        <v>47</v>
      </c>
      <c r="B50" s="18"/>
      <c r="C50" s="3" t="s">
        <v>30</v>
      </c>
      <c r="D50" s="4" t="s">
        <v>11</v>
      </c>
      <c r="E50" s="5"/>
      <c r="F50" s="6"/>
      <c r="G50" s="6">
        <v>40401</v>
      </c>
      <c r="H50" s="19">
        <v>65980</v>
      </c>
      <c r="I50" s="20"/>
      <c r="J50" s="20"/>
      <c r="K50" s="21"/>
      <c r="L50" s="15" t="s">
        <v>185</v>
      </c>
    </row>
    <row r="51" spans="1:12" ht="31.05" customHeight="1" x14ac:dyDescent="0.3">
      <c r="A51" s="17" t="s">
        <v>47</v>
      </c>
      <c r="B51" s="18"/>
      <c r="C51" s="3" t="s">
        <v>57</v>
      </c>
      <c r="D51" s="4" t="s">
        <v>11</v>
      </c>
      <c r="E51" s="5"/>
      <c r="F51" s="6"/>
      <c r="G51" s="6">
        <v>25579</v>
      </c>
      <c r="H51" s="19">
        <v>25579</v>
      </c>
      <c r="I51" s="20"/>
      <c r="J51" s="20"/>
      <c r="K51" s="21"/>
      <c r="L51" s="15" t="s">
        <v>185</v>
      </c>
    </row>
    <row r="52" spans="1:12" ht="31.05" customHeight="1" x14ac:dyDescent="0.3">
      <c r="A52" s="17" t="s">
        <v>58</v>
      </c>
      <c r="B52" s="18"/>
      <c r="C52" s="3" t="s">
        <v>8</v>
      </c>
      <c r="D52" s="4" t="s">
        <v>9</v>
      </c>
      <c r="E52" s="5"/>
      <c r="F52" s="6"/>
      <c r="G52" s="6">
        <v>1501948</v>
      </c>
      <c r="H52" s="19">
        <v>0</v>
      </c>
      <c r="I52" s="20"/>
      <c r="J52" s="20"/>
      <c r="K52" s="21"/>
      <c r="L52" s="15" t="s">
        <v>185</v>
      </c>
    </row>
    <row r="53" spans="1:12" ht="31.05" customHeight="1" x14ac:dyDescent="0.3">
      <c r="A53" s="17" t="s">
        <v>58</v>
      </c>
      <c r="B53" s="18"/>
      <c r="C53" s="3" t="s">
        <v>59</v>
      </c>
      <c r="D53" s="4" t="s">
        <v>9</v>
      </c>
      <c r="E53" s="5"/>
      <c r="F53" s="6">
        <v>1499233</v>
      </c>
      <c r="G53" s="6"/>
      <c r="H53" s="19">
        <v>-1501948</v>
      </c>
      <c r="I53" s="20"/>
      <c r="J53" s="20"/>
      <c r="K53" s="21"/>
      <c r="L53" s="15" t="s">
        <v>197</v>
      </c>
    </row>
    <row r="54" spans="1:12" ht="31.05" customHeight="1" x14ac:dyDescent="0.3">
      <c r="A54" s="17" t="s">
        <v>58</v>
      </c>
      <c r="B54" s="18"/>
      <c r="C54" s="3" t="s">
        <v>60</v>
      </c>
      <c r="D54" s="4" t="s">
        <v>11</v>
      </c>
      <c r="E54" s="5"/>
      <c r="F54" s="6">
        <v>58665</v>
      </c>
      <c r="G54" s="6"/>
      <c r="H54" s="19">
        <v>-2715</v>
      </c>
      <c r="I54" s="20"/>
      <c r="J54" s="20"/>
      <c r="K54" s="21"/>
      <c r="L54" s="15" t="s">
        <v>206</v>
      </c>
    </row>
    <row r="55" spans="1:12" ht="31.05" customHeight="1" x14ac:dyDescent="0.3">
      <c r="A55" s="17" t="s">
        <v>58</v>
      </c>
      <c r="B55" s="18"/>
      <c r="C55" s="3" t="s">
        <v>61</v>
      </c>
      <c r="D55" s="4" t="s">
        <v>11</v>
      </c>
      <c r="E55" s="5"/>
      <c r="F55" s="6"/>
      <c r="G55" s="6">
        <v>55950</v>
      </c>
      <c r="H55" s="19">
        <v>55950</v>
      </c>
      <c r="I55" s="20"/>
      <c r="J55" s="20"/>
      <c r="K55" s="21"/>
      <c r="L55" s="15" t="s">
        <v>185</v>
      </c>
    </row>
    <row r="56" spans="1:12" ht="31.05" customHeight="1" x14ac:dyDescent="0.3">
      <c r="A56" s="17" t="s">
        <v>62</v>
      </c>
      <c r="B56" s="18"/>
      <c r="C56" s="3" t="s">
        <v>48</v>
      </c>
      <c r="D56" s="4" t="s">
        <v>9</v>
      </c>
      <c r="E56" s="5"/>
      <c r="F56" s="6">
        <v>1190699</v>
      </c>
      <c r="G56" s="6"/>
      <c r="H56" s="19">
        <v>0</v>
      </c>
      <c r="I56" s="20"/>
      <c r="J56" s="20"/>
      <c r="K56" s="21"/>
      <c r="L56" s="14" t="s">
        <v>204</v>
      </c>
    </row>
    <row r="57" spans="1:12" ht="31.05" customHeight="1" x14ac:dyDescent="0.3">
      <c r="A57" s="17" t="s">
        <v>62</v>
      </c>
      <c r="B57" s="18"/>
      <c r="C57" s="3" t="s">
        <v>63</v>
      </c>
      <c r="D57" s="4" t="s">
        <v>11</v>
      </c>
      <c r="E57" s="5"/>
      <c r="F57" s="6"/>
      <c r="G57" s="6">
        <v>107029</v>
      </c>
      <c r="H57" s="19">
        <v>1190699</v>
      </c>
      <c r="I57" s="20"/>
      <c r="J57" s="20"/>
      <c r="K57" s="21"/>
      <c r="L57" s="15" t="s">
        <v>185</v>
      </c>
    </row>
    <row r="58" spans="1:12" ht="31.05" customHeight="1" x14ac:dyDescent="0.3">
      <c r="A58" s="17" t="s">
        <v>62</v>
      </c>
      <c r="B58" s="18"/>
      <c r="C58" s="3" t="s">
        <v>17</v>
      </c>
      <c r="D58" s="4" t="s">
        <v>18</v>
      </c>
      <c r="E58" s="5"/>
      <c r="F58" s="6"/>
      <c r="G58" s="6">
        <v>274494</v>
      </c>
      <c r="H58" s="19">
        <v>1083670</v>
      </c>
      <c r="I58" s="20"/>
      <c r="J58" s="20"/>
      <c r="K58" s="21"/>
      <c r="L58" s="15" t="s">
        <v>185</v>
      </c>
    </row>
    <row r="59" spans="1:12" ht="31.05" customHeight="1" x14ac:dyDescent="0.3">
      <c r="A59" s="17" t="s">
        <v>62</v>
      </c>
      <c r="B59" s="18"/>
      <c r="C59" s="3" t="s">
        <v>64</v>
      </c>
      <c r="D59" s="4" t="s">
        <v>11</v>
      </c>
      <c r="E59" s="5"/>
      <c r="F59" s="6"/>
      <c r="G59" s="6">
        <v>91772</v>
      </c>
      <c r="H59" s="19">
        <v>809176</v>
      </c>
      <c r="I59" s="20"/>
      <c r="J59" s="20"/>
      <c r="K59" s="21"/>
      <c r="L59" s="15" t="s">
        <v>185</v>
      </c>
    </row>
    <row r="60" spans="1:12" ht="31.05" customHeight="1" x14ac:dyDescent="0.3">
      <c r="A60" s="17" t="s">
        <v>62</v>
      </c>
      <c r="B60" s="18"/>
      <c r="C60" s="3" t="s">
        <v>65</v>
      </c>
      <c r="D60" s="4" t="s">
        <v>11</v>
      </c>
      <c r="E60" s="5"/>
      <c r="F60" s="6"/>
      <c r="G60" s="6">
        <v>22868</v>
      </c>
      <c r="H60" s="19">
        <v>717404</v>
      </c>
      <c r="I60" s="20"/>
      <c r="J60" s="20"/>
      <c r="K60" s="21"/>
      <c r="L60" s="15" t="s">
        <v>185</v>
      </c>
    </row>
    <row r="61" spans="1:12" ht="31.05" customHeight="1" x14ac:dyDescent="0.3">
      <c r="A61" s="17" t="s">
        <v>62</v>
      </c>
      <c r="B61" s="18"/>
      <c r="C61" s="3" t="s">
        <v>66</v>
      </c>
      <c r="D61" s="4" t="s">
        <v>11</v>
      </c>
      <c r="E61" s="5"/>
      <c r="F61" s="6"/>
      <c r="G61" s="6">
        <v>89250</v>
      </c>
      <c r="H61" s="19">
        <v>694536</v>
      </c>
      <c r="I61" s="20"/>
      <c r="J61" s="20"/>
      <c r="K61" s="21"/>
      <c r="L61" s="15" t="s">
        <v>185</v>
      </c>
    </row>
    <row r="62" spans="1:12" ht="31.05" customHeight="1" x14ac:dyDescent="0.3">
      <c r="A62" s="17" t="s">
        <v>62</v>
      </c>
      <c r="B62" s="18"/>
      <c r="C62" s="3" t="s">
        <v>67</v>
      </c>
      <c r="D62" s="4" t="s">
        <v>11</v>
      </c>
      <c r="E62" s="5"/>
      <c r="F62" s="6"/>
      <c r="G62" s="6">
        <v>44993</v>
      </c>
      <c r="H62" s="19">
        <v>605286</v>
      </c>
      <c r="I62" s="20"/>
      <c r="J62" s="20"/>
      <c r="K62" s="21"/>
      <c r="L62" s="15" t="s">
        <v>185</v>
      </c>
    </row>
    <row r="63" spans="1:12" ht="31.05" customHeight="1" x14ac:dyDescent="0.3">
      <c r="A63" s="17" t="s">
        <v>62</v>
      </c>
      <c r="B63" s="18"/>
      <c r="C63" s="3" t="s">
        <v>68</v>
      </c>
      <c r="D63" s="4" t="s">
        <v>11</v>
      </c>
      <c r="E63" s="5"/>
      <c r="F63" s="6"/>
      <c r="G63" s="6">
        <v>402432</v>
      </c>
      <c r="H63" s="19">
        <v>560293</v>
      </c>
      <c r="I63" s="20"/>
      <c r="J63" s="20"/>
      <c r="K63" s="21"/>
      <c r="L63" s="15" t="s">
        <v>185</v>
      </c>
    </row>
    <row r="64" spans="1:12" ht="31.05" customHeight="1" x14ac:dyDescent="0.3">
      <c r="A64" s="17" t="s">
        <v>62</v>
      </c>
      <c r="B64" s="18"/>
      <c r="C64" s="3" t="s">
        <v>69</v>
      </c>
      <c r="D64" s="4" t="s">
        <v>11</v>
      </c>
      <c r="E64" s="5"/>
      <c r="F64" s="6"/>
      <c r="G64" s="6">
        <v>70141</v>
      </c>
      <c r="H64" s="19">
        <v>157861</v>
      </c>
      <c r="I64" s="20"/>
      <c r="J64" s="20"/>
      <c r="K64" s="21"/>
      <c r="L64" s="15" t="s">
        <v>185</v>
      </c>
    </row>
    <row r="65" spans="1:12" ht="31.05" customHeight="1" x14ac:dyDescent="0.3">
      <c r="A65" s="17" t="s">
        <v>70</v>
      </c>
      <c r="B65" s="18"/>
      <c r="C65" s="3" t="s">
        <v>8</v>
      </c>
      <c r="D65" s="4" t="s">
        <v>9</v>
      </c>
      <c r="E65" s="5"/>
      <c r="F65" s="6"/>
      <c r="G65" s="6">
        <v>1493571</v>
      </c>
      <c r="H65" s="19">
        <v>87720</v>
      </c>
      <c r="I65" s="20"/>
      <c r="J65" s="20"/>
      <c r="K65" s="21"/>
      <c r="L65" s="15" t="s">
        <v>185</v>
      </c>
    </row>
    <row r="66" spans="1:12" ht="31.05" customHeight="1" x14ac:dyDescent="0.3">
      <c r="A66" s="17" t="s">
        <v>70</v>
      </c>
      <c r="B66" s="18"/>
      <c r="C66" s="3" t="s">
        <v>41</v>
      </c>
      <c r="D66" s="4" t="s">
        <v>71</v>
      </c>
      <c r="E66" s="5" t="s">
        <v>72</v>
      </c>
      <c r="F66" s="6"/>
      <c r="G66" s="6">
        <v>87720</v>
      </c>
      <c r="H66" s="19">
        <v>-1405851</v>
      </c>
      <c r="I66" s="20"/>
      <c r="J66" s="20"/>
      <c r="K66" s="21"/>
      <c r="L66" s="15" t="s">
        <v>185</v>
      </c>
    </row>
    <row r="67" spans="1:12" ht="31.05" customHeight="1" x14ac:dyDescent="0.3">
      <c r="A67" s="17" t="s">
        <v>70</v>
      </c>
      <c r="B67" s="18"/>
      <c r="C67" s="3" t="s">
        <v>73</v>
      </c>
      <c r="D67" s="4" t="s">
        <v>11</v>
      </c>
      <c r="E67" s="5"/>
      <c r="F67" s="6"/>
      <c r="G67" s="6">
        <v>202300</v>
      </c>
      <c r="H67" s="19">
        <v>-1493571</v>
      </c>
      <c r="I67" s="20"/>
      <c r="J67" s="20"/>
      <c r="K67" s="21"/>
      <c r="L67" s="15" t="s">
        <v>185</v>
      </c>
    </row>
    <row r="68" spans="1:12" ht="31.05" customHeight="1" x14ac:dyDescent="0.3">
      <c r="A68" s="17" t="s">
        <v>70</v>
      </c>
      <c r="B68" s="18"/>
      <c r="C68" s="3" t="s">
        <v>74</v>
      </c>
      <c r="D68" s="4" t="s">
        <v>11</v>
      </c>
      <c r="E68" s="5"/>
      <c r="F68" s="6"/>
      <c r="G68" s="6">
        <v>35981</v>
      </c>
      <c r="H68" s="19">
        <v>-1695871</v>
      </c>
      <c r="I68" s="20"/>
      <c r="J68" s="20"/>
      <c r="K68" s="21"/>
      <c r="L68" s="15" t="s">
        <v>185</v>
      </c>
    </row>
    <row r="69" spans="1:12" ht="31.05" customHeight="1" x14ac:dyDescent="0.3">
      <c r="A69" s="17" t="s">
        <v>70</v>
      </c>
      <c r="B69" s="18"/>
      <c r="C69" s="3" t="s">
        <v>75</v>
      </c>
      <c r="D69" s="4" t="s">
        <v>18</v>
      </c>
      <c r="E69" s="5"/>
      <c r="F69" s="6">
        <v>5181639</v>
      </c>
      <c r="G69" s="6"/>
      <c r="H69" s="19">
        <v>-1731852</v>
      </c>
      <c r="I69" s="20"/>
      <c r="J69" s="20"/>
      <c r="K69" s="21"/>
      <c r="L69" s="15" t="s">
        <v>193</v>
      </c>
    </row>
    <row r="70" spans="1:12" ht="31.05" customHeight="1" x14ac:dyDescent="0.3">
      <c r="A70" s="17" t="s">
        <v>70</v>
      </c>
      <c r="B70" s="18"/>
      <c r="C70" s="3" t="s">
        <v>17</v>
      </c>
      <c r="D70" s="4" t="s">
        <v>18</v>
      </c>
      <c r="E70" s="5"/>
      <c r="F70" s="6"/>
      <c r="G70" s="6">
        <v>25859</v>
      </c>
      <c r="H70" s="19">
        <v>3449787</v>
      </c>
      <c r="I70" s="20"/>
      <c r="J70" s="20"/>
      <c r="K70" s="21"/>
      <c r="L70" s="15" t="s">
        <v>185</v>
      </c>
    </row>
    <row r="71" spans="1:12" ht="31.05" customHeight="1" x14ac:dyDescent="0.3">
      <c r="A71" s="17" t="s">
        <v>70</v>
      </c>
      <c r="B71" s="18"/>
      <c r="C71" s="3" t="s">
        <v>76</v>
      </c>
      <c r="D71" s="4" t="s">
        <v>18</v>
      </c>
      <c r="E71" s="5"/>
      <c r="F71" s="6"/>
      <c r="G71" s="6">
        <v>72482</v>
      </c>
      <c r="H71" s="19">
        <v>3423928</v>
      </c>
      <c r="I71" s="20"/>
      <c r="J71" s="20"/>
      <c r="K71" s="21"/>
      <c r="L71" s="15" t="s">
        <v>185</v>
      </c>
    </row>
    <row r="72" spans="1:12" ht="31.05" customHeight="1" x14ac:dyDescent="0.3">
      <c r="A72" s="17" t="s">
        <v>70</v>
      </c>
      <c r="B72" s="18"/>
      <c r="C72" s="3" t="s">
        <v>77</v>
      </c>
      <c r="D72" s="4" t="s">
        <v>18</v>
      </c>
      <c r="E72" s="5"/>
      <c r="F72" s="6"/>
      <c r="G72" s="6">
        <v>70122</v>
      </c>
      <c r="H72" s="19">
        <v>3351446</v>
      </c>
      <c r="I72" s="20"/>
      <c r="J72" s="20"/>
      <c r="K72" s="21"/>
      <c r="L72" s="15" t="s">
        <v>185</v>
      </c>
    </row>
    <row r="73" spans="1:12" ht="31.05" customHeight="1" x14ac:dyDescent="0.3">
      <c r="A73" s="17" t="s">
        <v>78</v>
      </c>
      <c r="B73" s="18"/>
      <c r="C73" s="3" t="s">
        <v>79</v>
      </c>
      <c r="D73" s="4" t="s">
        <v>11</v>
      </c>
      <c r="E73" s="5"/>
      <c r="F73" s="6"/>
      <c r="G73" s="6">
        <v>14330</v>
      </c>
      <c r="H73" s="19">
        <v>3281324</v>
      </c>
      <c r="I73" s="20"/>
      <c r="J73" s="20"/>
      <c r="K73" s="21"/>
      <c r="L73" s="15" t="s">
        <v>185</v>
      </c>
    </row>
    <row r="74" spans="1:12" ht="31.05" customHeight="1" x14ac:dyDescent="0.3">
      <c r="A74" s="17" t="s">
        <v>78</v>
      </c>
      <c r="B74" s="18"/>
      <c r="C74" s="3" t="s">
        <v>80</v>
      </c>
      <c r="D74" s="4" t="s">
        <v>11</v>
      </c>
      <c r="E74" s="5"/>
      <c r="F74" s="6"/>
      <c r="G74" s="6">
        <v>106188</v>
      </c>
      <c r="H74" s="19">
        <v>3266994</v>
      </c>
      <c r="I74" s="20"/>
      <c r="J74" s="20"/>
      <c r="K74" s="21"/>
      <c r="L74" s="15" t="s">
        <v>185</v>
      </c>
    </row>
    <row r="75" spans="1:12" ht="31.05" customHeight="1" x14ac:dyDescent="0.3">
      <c r="A75" s="17" t="s">
        <v>78</v>
      </c>
      <c r="B75" s="18"/>
      <c r="C75" s="3" t="s">
        <v>81</v>
      </c>
      <c r="D75" s="4" t="s">
        <v>82</v>
      </c>
      <c r="E75" s="5" t="s">
        <v>83</v>
      </c>
      <c r="F75" s="6"/>
      <c r="G75" s="6">
        <v>36110</v>
      </c>
      <c r="H75" s="19">
        <v>3160806</v>
      </c>
      <c r="I75" s="20"/>
      <c r="J75" s="20"/>
      <c r="K75" s="21"/>
      <c r="L75" s="15" t="s">
        <v>185</v>
      </c>
    </row>
    <row r="76" spans="1:12" ht="31.05" customHeight="1" x14ac:dyDescent="0.3">
      <c r="A76" s="17" t="s">
        <v>78</v>
      </c>
      <c r="B76" s="18"/>
      <c r="C76" s="3" t="s">
        <v>17</v>
      </c>
      <c r="D76" s="4" t="s">
        <v>18</v>
      </c>
      <c r="E76" s="5"/>
      <c r="F76" s="6"/>
      <c r="G76" s="6">
        <v>296780</v>
      </c>
      <c r="H76" s="19">
        <v>3124696</v>
      </c>
      <c r="I76" s="20"/>
      <c r="J76" s="20"/>
      <c r="K76" s="21"/>
      <c r="L76" s="15" t="s">
        <v>185</v>
      </c>
    </row>
    <row r="77" spans="1:12" ht="31.05" customHeight="1" x14ac:dyDescent="0.3">
      <c r="A77" s="17" t="s">
        <v>78</v>
      </c>
      <c r="B77" s="18"/>
      <c r="C77" s="3" t="s">
        <v>84</v>
      </c>
      <c r="D77" s="4" t="s">
        <v>11</v>
      </c>
      <c r="E77" s="5"/>
      <c r="F77" s="6">
        <v>21000</v>
      </c>
      <c r="G77" s="6"/>
      <c r="H77" s="19">
        <v>2827916</v>
      </c>
      <c r="I77" s="20"/>
      <c r="J77" s="20"/>
      <c r="K77" s="21"/>
      <c r="L77" s="15" t="s">
        <v>206</v>
      </c>
    </row>
    <row r="78" spans="1:12" ht="31.05" customHeight="1" x14ac:dyDescent="0.3">
      <c r="A78" s="17" t="s">
        <v>78</v>
      </c>
      <c r="B78" s="18"/>
      <c r="C78" s="3" t="s">
        <v>39</v>
      </c>
      <c r="D78" s="4" t="s">
        <v>11</v>
      </c>
      <c r="E78" s="5"/>
      <c r="F78" s="6"/>
      <c r="G78" s="6">
        <v>190000</v>
      </c>
      <c r="H78" s="19">
        <v>2848916</v>
      </c>
      <c r="I78" s="20"/>
      <c r="J78" s="20"/>
      <c r="K78" s="21"/>
      <c r="L78" s="15" t="s">
        <v>185</v>
      </c>
    </row>
    <row r="79" spans="1:12" ht="31.05" customHeight="1" x14ac:dyDescent="0.3">
      <c r="A79" s="17" t="s">
        <v>85</v>
      </c>
      <c r="B79" s="18"/>
      <c r="C79" s="3" t="s">
        <v>86</v>
      </c>
      <c r="D79" s="4" t="s">
        <v>18</v>
      </c>
      <c r="E79" s="5"/>
      <c r="F79" s="6">
        <v>15389</v>
      </c>
      <c r="G79" s="6"/>
      <c r="H79" s="19">
        <v>2658916</v>
      </c>
      <c r="I79" s="20"/>
      <c r="J79" s="20"/>
      <c r="K79" s="21"/>
      <c r="L79" s="15" t="s">
        <v>198</v>
      </c>
    </row>
    <row r="80" spans="1:12" ht="31.05" customHeight="1" x14ac:dyDescent="0.3">
      <c r="A80" s="17" t="s">
        <v>85</v>
      </c>
      <c r="B80" s="18"/>
      <c r="C80" s="3" t="s">
        <v>87</v>
      </c>
      <c r="D80" s="4" t="s">
        <v>11</v>
      </c>
      <c r="E80" s="5"/>
      <c r="F80" s="6"/>
      <c r="G80" s="6">
        <v>152388</v>
      </c>
      <c r="H80" s="19">
        <v>2674305</v>
      </c>
      <c r="I80" s="20"/>
      <c r="J80" s="20"/>
      <c r="K80" s="21"/>
      <c r="L80" s="15" t="s">
        <v>185</v>
      </c>
    </row>
    <row r="81" spans="1:12" ht="31.05" customHeight="1" x14ac:dyDescent="0.3">
      <c r="A81" s="17" t="s">
        <v>85</v>
      </c>
      <c r="B81" s="18"/>
      <c r="C81" s="3" t="s">
        <v>88</v>
      </c>
      <c r="D81" s="4" t="s">
        <v>11</v>
      </c>
      <c r="E81" s="5"/>
      <c r="F81" s="6"/>
      <c r="G81" s="6">
        <v>41746</v>
      </c>
      <c r="H81" s="19">
        <v>2521917</v>
      </c>
      <c r="I81" s="20"/>
      <c r="J81" s="20"/>
      <c r="K81" s="21"/>
      <c r="L81" s="15" t="s">
        <v>185</v>
      </c>
    </row>
    <row r="82" spans="1:12" ht="31.05" customHeight="1" x14ac:dyDescent="0.3">
      <c r="A82" s="17" t="s">
        <v>85</v>
      </c>
      <c r="B82" s="18"/>
      <c r="C82" s="3" t="s">
        <v>89</v>
      </c>
      <c r="D82" s="4" t="s">
        <v>11</v>
      </c>
      <c r="E82" s="5"/>
      <c r="F82" s="6"/>
      <c r="G82" s="6">
        <v>76646</v>
      </c>
      <c r="H82" s="19">
        <v>2480171</v>
      </c>
      <c r="I82" s="20"/>
      <c r="J82" s="20"/>
      <c r="K82" s="21"/>
      <c r="L82" s="15" t="s">
        <v>185</v>
      </c>
    </row>
    <row r="83" spans="1:12" ht="31.05" customHeight="1" x14ac:dyDescent="0.3">
      <c r="A83" s="17" t="s">
        <v>85</v>
      </c>
      <c r="B83" s="18"/>
      <c r="C83" s="3" t="s">
        <v>17</v>
      </c>
      <c r="D83" s="4" t="s">
        <v>18</v>
      </c>
      <c r="E83" s="5"/>
      <c r="F83" s="6"/>
      <c r="G83" s="6">
        <v>57908</v>
      </c>
      <c r="H83" s="19">
        <v>2403525</v>
      </c>
      <c r="I83" s="20"/>
      <c r="J83" s="20"/>
      <c r="K83" s="21"/>
      <c r="L83" s="15" t="s">
        <v>185</v>
      </c>
    </row>
    <row r="84" spans="1:12" ht="31.05" customHeight="1" x14ac:dyDescent="0.3">
      <c r="A84" s="17" t="s">
        <v>85</v>
      </c>
      <c r="B84" s="18"/>
      <c r="C84" s="3" t="s">
        <v>30</v>
      </c>
      <c r="D84" s="4" t="s">
        <v>11</v>
      </c>
      <c r="E84" s="5"/>
      <c r="F84" s="6"/>
      <c r="G84" s="6">
        <v>25128</v>
      </c>
      <c r="H84" s="19">
        <v>2345617</v>
      </c>
      <c r="I84" s="20"/>
      <c r="J84" s="20"/>
      <c r="K84" s="21"/>
      <c r="L84" s="15" t="s">
        <v>185</v>
      </c>
    </row>
    <row r="85" spans="1:12" ht="31.05" customHeight="1" x14ac:dyDescent="0.3">
      <c r="A85" s="17" t="s">
        <v>85</v>
      </c>
      <c r="B85" s="18"/>
      <c r="C85" s="3" t="s">
        <v>90</v>
      </c>
      <c r="D85" s="4" t="s">
        <v>11</v>
      </c>
      <c r="E85" s="5"/>
      <c r="F85" s="6"/>
      <c r="G85" s="6">
        <v>16980</v>
      </c>
      <c r="H85" s="19">
        <v>2320489</v>
      </c>
      <c r="I85" s="20"/>
      <c r="J85" s="20"/>
      <c r="K85" s="21"/>
      <c r="L85" s="15" t="s">
        <v>185</v>
      </c>
    </row>
    <row r="86" spans="1:12" ht="31.05" customHeight="1" x14ac:dyDescent="0.3">
      <c r="A86" s="17" t="s">
        <v>85</v>
      </c>
      <c r="B86" s="18"/>
      <c r="C86" s="3" t="s">
        <v>91</v>
      </c>
      <c r="D86" s="4" t="s">
        <v>11</v>
      </c>
      <c r="E86" s="5"/>
      <c r="F86" s="6"/>
      <c r="G86" s="6">
        <v>62839</v>
      </c>
      <c r="H86" s="19">
        <v>2303509</v>
      </c>
      <c r="I86" s="20"/>
      <c r="J86" s="20"/>
      <c r="K86" s="21"/>
      <c r="L86" s="15" t="s">
        <v>185</v>
      </c>
    </row>
    <row r="87" spans="1:12" ht="31.05" customHeight="1" x14ac:dyDescent="0.3">
      <c r="A87" s="17" t="s">
        <v>85</v>
      </c>
      <c r="B87" s="18"/>
      <c r="C87" s="3" t="s">
        <v>92</v>
      </c>
      <c r="D87" s="4" t="s">
        <v>11</v>
      </c>
      <c r="E87" s="5"/>
      <c r="F87" s="6"/>
      <c r="G87" s="6">
        <v>23949</v>
      </c>
      <c r="H87" s="19">
        <v>2240670</v>
      </c>
      <c r="I87" s="20"/>
      <c r="J87" s="20"/>
      <c r="K87" s="21"/>
      <c r="L87" s="15" t="s">
        <v>185</v>
      </c>
    </row>
    <row r="88" spans="1:12" ht="31.05" customHeight="1" x14ac:dyDescent="0.3">
      <c r="A88" s="17" t="s">
        <v>93</v>
      </c>
      <c r="B88" s="18"/>
      <c r="C88" s="3" t="s">
        <v>94</v>
      </c>
      <c r="D88" s="4" t="s">
        <v>11</v>
      </c>
      <c r="E88" s="5"/>
      <c r="F88" s="6"/>
      <c r="G88" s="6">
        <v>276739</v>
      </c>
      <c r="H88" s="19">
        <v>2216721</v>
      </c>
      <c r="I88" s="20"/>
      <c r="J88" s="20"/>
      <c r="K88" s="21"/>
      <c r="L88" s="15" t="s">
        <v>185</v>
      </c>
    </row>
    <row r="89" spans="1:12" ht="31.05" customHeight="1" x14ac:dyDescent="0.3">
      <c r="A89" s="17" t="s">
        <v>93</v>
      </c>
      <c r="B89" s="18"/>
      <c r="C89" s="3" t="s">
        <v>95</v>
      </c>
      <c r="D89" s="4" t="s">
        <v>11</v>
      </c>
      <c r="E89" s="5"/>
      <c r="F89" s="6"/>
      <c r="G89" s="6">
        <v>226031</v>
      </c>
      <c r="H89" s="19">
        <v>1939982</v>
      </c>
      <c r="I89" s="20"/>
      <c r="J89" s="20"/>
      <c r="K89" s="21"/>
      <c r="L89" s="15" t="s">
        <v>185</v>
      </c>
    </row>
    <row r="90" spans="1:12" ht="31.05" customHeight="1" x14ac:dyDescent="0.3">
      <c r="A90" s="17" t="s">
        <v>93</v>
      </c>
      <c r="B90" s="18"/>
      <c r="C90" s="3" t="s">
        <v>96</v>
      </c>
      <c r="D90" s="4" t="s">
        <v>11</v>
      </c>
      <c r="E90" s="5"/>
      <c r="F90" s="6"/>
      <c r="G90" s="6">
        <v>331510</v>
      </c>
      <c r="H90" s="19">
        <v>1713951</v>
      </c>
      <c r="I90" s="20"/>
      <c r="J90" s="20"/>
      <c r="K90" s="21"/>
      <c r="L90" s="15" t="s">
        <v>185</v>
      </c>
    </row>
    <row r="91" spans="1:12" ht="31.05" customHeight="1" x14ac:dyDescent="0.3">
      <c r="A91" s="17" t="s">
        <v>93</v>
      </c>
      <c r="B91" s="18"/>
      <c r="C91" s="3" t="s">
        <v>17</v>
      </c>
      <c r="D91" s="4" t="s">
        <v>18</v>
      </c>
      <c r="E91" s="5"/>
      <c r="F91" s="6"/>
      <c r="G91" s="6">
        <v>511930</v>
      </c>
      <c r="H91" s="19">
        <v>1382441</v>
      </c>
      <c r="I91" s="20"/>
      <c r="J91" s="20"/>
      <c r="K91" s="21"/>
      <c r="L91" s="15" t="s">
        <v>185</v>
      </c>
    </row>
    <row r="92" spans="1:12" ht="31.05" customHeight="1" x14ac:dyDescent="0.3">
      <c r="A92" s="17" t="s">
        <v>93</v>
      </c>
      <c r="B92" s="18"/>
      <c r="C92" s="3" t="s">
        <v>51</v>
      </c>
      <c r="D92" s="4" t="s">
        <v>11</v>
      </c>
      <c r="E92" s="5"/>
      <c r="F92" s="6"/>
      <c r="G92" s="6">
        <v>700000</v>
      </c>
      <c r="H92" s="19">
        <v>870511</v>
      </c>
      <c r="I92" s="20"/>
      <c r="J92" s="20"/>
      <c r="K92" s="21"/>
      <c r="L92" s="15" t="s">
        <v>185</v>
      </c>
    </row>
    <row r="93" spans="1:12" ht="31.05" customHeight="1" x14ac:dyDescent="0.3">
      <c r="A93" s="17" t="s">
        <v>93</v>
      </c>
      <c r="B93" s="18"/>
      <c r="C93" s="3" t="s">
        <v>97</v>
      </c>
      <c r="D93" s="4" t="s">
        <v>11</v>
      </c>
      <c r="E93" s="5"/>
      <c r="F93" s="6"/>
      <c r="G93" s="6">
        <v>89647</v>
      </c>
      <c r="H93" s="19">
        <v>170511</v>
      </c>
      <c r="I93" s="20"/>
      <c r="J93" s="20"/>
      <c r="K93" s="21"/>
      <c r="L93" s="15" t="s">
        <v>185</v>
      </c>
    </row>
    <row r="94" spans="1:12" ht="31.05" customHeight="1" x14ac:dyDescent="0.3">
      <c r="A94" s="17" t="s">
        <v>93</v>
      </c>
      <c r="B94" s="18"/>
      <c r="C94" s="3" t="s">
        <v>98</v>
      </c>
      <c r="D94" s="4" t="s">
        <v>18</v>
      </c>
      <c r="E94" s="5"/>
      <c r="F94" s="6">
        <v>17505</v>
      </c>
      <c r="G94" s="6"/>
      <c r="H94" s="19">
        <v>80864</v>
      </c>
      <c r="I94" s="20"/>
      <c r="J94" s="20"/>
      <c r="K94" s="21"/>
      <c r="L94" s="14" t="s">
        <v>205</v>
      </c>
    </row>
    <row r="95" spans="1:12" ht="31.05" customHeight="1" x14ac:dyDescent="0.3">
      <c r="A95" s="17" t="s">
        <v>93</v>
      </c>
      <c r="B95" s="18"/>
      <c r="C95" s="3" t="s">
        <v>98</v>
      </c>
      <c r="D95" s="4" t="s">
        <v>18</v>
      </c>
      <c r="E95" s="5"/>
      <c r="F95" s="6">
        <v>17505</v>
      </c>
      <c r="G95" s="6"/>
      <c r="H95" s="19">
        <v>98369</v>
      </c>
      <c r="I95" s="20"/>
      <c r="J95" s="20"/>
      <c r="K95" s="21"/>
      <c r="L95" s="14" t="s">
        <v>205</v>
      </c>
    </row>
    <row r="96" spans="1:12" ht="31.05" customHeight="1" x14ac:dyDescent="0.3">
      <c r="A96" s="17" t="s">
        <v>93</v>
      </c>
      <c r="B96" s="18"/>
      <c r="C96" s="3" t="s">
        <v>99</v>
      </c>
      <c r="D96" s="4" t="s">
        <v>11</v>
      </c>
      <c r="E96" s="5"/>
      <c r="F96" s="6"/>
      <c r="G96" s="6">
        <v>52271</v>
      </c>
      <c r="H96" s="19">
        <v>115874</v>
      </c>
      <c r="I96" s="20"/>
      <c r="J96" s="20"/>
      <c r="K96" s="21"/>
      <c r="L96" s="15" t="s">
        <v>185</v>
      </c>
    </row>
    <row r="97" spans="1:12" ht="31.05" customHeight="1" x14ac:dyDescent="0.3">
      <c r="A97" s="17" t="s">
        <v>93</v>
      </c>
      <c r="B97" s="18"/>
      <c r="C97" s="3" t="s">
        <v>100</v>
      </c>
      <c r="D97" s="4" t="s">
        <v>11</v>
      </c>
      <c r="E97" s="5"/>
      <c r="F97" s="6"/>
      <c r="G97" s="6">
        <v>23351</v>
      </c>
      <c r="H97" s="19">
        <v>63603</v>
      </c>
      <c r="I97" s="20"/>
      <c r="J97" s="20"/>
      <c r="K97" s="21"/>
      <c r="L97" s="15" t="s">
        <v>185</v>
      </c>
    </row>
    <row r="98" spans="1:12" ht="31.05" customHeight="1" x14ac:dyDescent="0.3">
      <c r="A98" s="17" t="s">
        <v>101</v>
      </c>
      <c r="B98" s="18"/>
      <c r="C98" s="3" t="s">
        <v>48</v>
      </c>
      <c r="D98" s="4" t="s">
        <v>9</v>
      </c>
      <c r="E98" s="5"/>
      <c r="F98" s="6">
        <v>3044202</v>
      </c>
      <c r="G98" s="6"/>
      <c r="H98" s="19">
        <v>40252</v>
      </c>
      <c r="I98" s="20"/>
      <c r="J98" s="20"/>
      <c r="K98" s="21"/>
      <c r="L98" s="14" t="s">
        <v>204</v>
      </c>
    </row>
    <row r="99" spans="1:12" ht="31.05" customHeight="1" x14ac:dyDescent="0.3">
      <c r="A99" s="17" t="s">
        <v>101</v>
      </c>
      <c r="B99" s="18"/>
      <c r="C99" s="3" t="s">
        <v>102</v>
      </c>
      <c r="D99" s="4" t="s">
        <v>11</v>
      </c>
      <c r="E99" s="5"/>
      <c r="F99" s="6"/>
      <c r="G99" s="6">
        <v>46246</v>
      </c>
      <c r="H99" s="19">
        <v>3084454</v>
      </c>
      <c r="I99" s="20"/>
      <c r="J99" s="20"/>
      <c r="K99" s="21"/>
      <c r="L99" s="15" t="s">
        <v>185</v>
      </c>
    </row>
    <row r="100" spans="1:12" ht="31.05" customHeight="1" x14ac:dyDescent="0.3">
      <c r="A100" s="17" t="s">
        <v>101</v>
      </c>
      <c r="B100" s="18"/>
      <c r="C100" s="3" t="s">
        <v>17</v>
      </c>
      <c r="D100" s="4" t="s">
        <v>18</v>
      </c>
      <c r="E100" s="5"/>
      <c r="F100" s="6"/>
      <c r="G100" s="6">
        <v>212707</v>
      </c>
      <c r="H100" s="19">
        <v>3038208</v>
      </c>
      <c r="I100" s="20"/>
      <c r="J100" s="20"/>
      <c r="K100" s="21"/>
      <c r="L100" s="15" t="s">
        <v>185</v>
      </c>
    </row>
    <row r="101" spans="1:12" ht="31.05" customHeight="1" x14ac:dyDescent="0.3">
      <c r="A101" s="17" t="s">
        <v>101</v>
      </c>
      <c r="B101" s="18"/>
      <c r="C101" s="3" t="s">
        <v>103</v>
      </c>
      <c r="D101" s="4" t="s">
        <v>11</v>
      </c>
      <c r="E101" s="5"/>
      <c r="F101" s="6"/>
      <c r="G101" s="6">
        <v>565349</v>
      </c>
      <c r="H101" s="19">
        <v>2825501</v>
      </c>
      <c r="I101" s="20"/>
      <c r="J101" s="20"/>
      <c r="K101" s="21"/>
      <c r="L101" s="15" t="s">
        <v>185</v>
      </c>
    </row>
    <row r="102" spans="1:12" ht="31.05" customHeight="1" x14ac:dyDescent="0.3">
      <c r="A102" s="17" t="s">
        <v>101</v>
      </c>
      <c r="B102" s="18"/>
      <c r="C102" s="3" t="s">
        <v>104</v>
      </c>
      <c r="D102" s="4" t="s">
        <v>11</v>
      </c>
      <c r="E102" s="5"/>
      <c r="F102" s="6"/>
      <c r="G102" s="6">
        <v>341623</v>
      </c>
      <c r="H102" s="19">
        <v>2260152</v>
      </c>
      <c r="I102" s="20"/>
      <c r="J102" s="20"/>
      <c r="K102" s="21"/>
      <c r="L102" s="15" t="s">
        <v>185</v>
      </c>
    </row>
    <row r="103" spans="1:12" ht="31.05" customHeight="1" x14ac:dyDescent="0.3">
      <c r="A103" s="17" t="s">
        <v>101</v>
      </c>
      <c r="B103" s="18"/>
      <c r="C103" s="3" t="s">
        <v>105</v>
      </c>
      <c r="D103" s="4" t="s">
        <v>11</v>
      </c>
      <c r="E103" s="5"/>
      <c r="F103" s="6"/>
      <c r="G103" s="6">
        <v>63353</v>
      </c>
      <c r="H103" s="19">
        <v>1918529</v>
      </c>
      <c r="I103" s="20"/>
      <c r="J103" s="20"/>
      <c r="K103" s="21"/>
      <c r="L103" s="15" t="s">
        <v>185</v>
      </c>
    </row>
    <row r="104" spans="1:12" ht="31.05" customHeight="1" x14ac:dyDescent="0.3">
      <c r="A104" s="17" t="s">
        <v>101</v>
      </c>
      <c r="B104" s="18"/>
      <c r="C104" s="3" t="s">
        <v>106</v>
      </c>
      <c r="D104" s="4" t="s">
        <v>18</v>
      </c>
      <c r="E104" s="5"/>
      <c r="F104" s="6">
        <v>4509844</v>
      </c>
      <c r="G104" s="6"/>
      <c r="H104" s="19">
        <v>1855176</v>
      </c>
      <c r="I104" s="20"/>
      <c r="J104" s="20"/>
      <c r="K104" s="21"/>
      <c r="L104" s="15" t="s">
        <v>194</v>
      </c>
    </row>
    <row r="105" spans="1:12" ht="31.05" customHeight="1" x14ac:dyDescent="0.3">
      <c r="A105" s="17" t="s">
        <v>101</v>
      </c>
      <c r="B105" s="18"/>
      <c r="C105" s="3" t="s">
        <v>107</v>
      </c>
      <c r="D105" s="4" t="s">
        <v>11</v>
      </c>
      <c r="E105" s="5"/>
      <c r="F105" s="6"/>
      <c r="G105" s="6">
        <v>3000000</v>
      </c>
      <c r="H105" s="19">
        <v>6365020</v>
      </c>
      <c r="I105" s="20"/>
      <c r="J105" s="20"/>
      <c r="K105" s="21"/>
      <c r="L105" s="15" t="s">
        <v>185</v>
      </c>
    </row>
    <row r="106" spans="1:12" ht="31.05" customHeight="1" x14ac:dyDescent="0.3">
      <c r="A106" s="17" t="s">
        <v>101</v>
      </c>
      <c r="B106" s="18"/>
      <c r="C106" s="3" t="s">
        <v>30</v>
      </c>
      <c r="D106" s="4" t="s">
        <v>11</v>
      </c>
      <c r="E106" s="5"/>
      <c r="F106" s="6"/>
      <c r="G106" s="6">
        <v>1093919</v>
      </c>
      <c r="H106" s="19">
        <v>3365020</v>
      </c>
      <c r="I106" s="20"/>
      <c r="J106" s="20"/>
      <c r="K106" s="21"/>
      <c r="L106" s="15" t="s">
        <v>185</v>
      </c>
    </row>
    <row r="107" spans="1:12" ht="31.05" customHeight="1" x14ac:dyDescent="0.3">
      <c r="A107" s="17" t="s">
        <v>101</v>
      </c>
      <c r="B107" s="18"/>
      <c r="C107" s="3" t="s">
        <v>77</v>
      </c>
      <c r="D107" s="4" t="s">
        <v>18</v>
      </c>
      <c r="E107" s="5"/>
      <c r="F107" s="6"/>
      <c r="G107" s="6">
        <v>37973</v>
      </c>
      <c r="H107" s="19">
        <v>2271101</v>
      </c>
      <c r="I107" s="20"/>
      <c r="J107" s="20"/>
      <c r="K107" s="21"/>
      <c r="L107" s="15" t="s">
        <v>185</v>
      </c>
    </row>
    <row r="108" spans="1:12" ht="31.05" customHeight="1" x14ac:dyDescent="0.3">
      <c r="A108" s="17" t="s">
        <v>101</v>
      </c>
      <c r="B108" s="18"/>
      <c r="C108" s="3" t="s">
        <v>108</v>
      </c>
      <c r="D108" s="4" t="s">
        <v>11</v>
      </c>
      <c r="E108" s="5"/>
      <c r="F108" s="6"/>
      <c r="G108" s="6">
        <v>96558</v>
      </c>
      <c r="H108" s="19">
        <v>2233128</v>
      </c>
      <c r="I108" s="20"/>
      <c r="J108" s="20"/>
      <c r="K108" s="21"/>
      <c r="L108" s="15" t="s">
        <v>185</v>
      </c>
    </row>
    <row r="109" spans="1:12" ht="31.05" customHeight="1" x14ac:dyDescent="0.3">
      <c r="A109" s="17" t="s">
        <v>101</v>
      </c>
      <c r="B109" s="18"/>
      <c r="C109" s="3" t="s">
        <v>109</v>
      </c>
      <c r="D109" s="4" t="s">
        <v>11</v>
      </c>
      <c r="E109" s="5"/>
      <c r="F109" s="6"/>
      <c r="G109" s="6">
        <v>30270</v>
      </c>
      <c r="H109" s="19">
        <v>2136570</v>
      </c>
      <c r="I109" s="20"/>
      <c r="J109" s="20"/>
      <c r="K109" s="21"/>
      <c r="L109" s="15" t="s">
        <v>185</v>
      </c>
    </row>
    <row r="110" spans="1:12" ht="31.05" customHeight="1" x14ac:dyDescent="0.3">
      <c r="A110" s="17" t="s">
        <v>110</v>
      </c>
      <c r="B110" s="18"/>
      <c r="C110" s="3" t="s">
        <v>8</v>
      </c>
      <c r="D110" s="4" t="s">
        <v>9</v>
      </c>
      <c r="E110" s="5"/>
      <c r="F110" s="6"/>
      <c r="G110" s="6">
        <v>2885037</v>
      </c>
      <c r="H110" s="19">
        <v>2106300</v>
      </c>
      <c r="I110" s="20"/>
      <c r="J110" s="20"/>
      <c r="K110" s="21"/>
      <c r="L110" s="15" t="s">
        <v>185</v>
      </c>
    </row>
    <row r="111" spans="1:12" ht="31.05" customHeight="1" x14ac:dyDescent="0.3">
      <c r="A111" s="17" t="s">
        <v>110</v>
      </c>
      <c r="B111" s="18"/>
      <c r="C111" s="3" t="s">
        <v>41</v>
      </c>
      <c r="D111" s="4" t="s">
        <v>71</v>
      </c>
      <c r="E111" s="5" t="s">
        <v>111</v>
      </c>
      <c r="F111" s="6"/>
      <c r="G111" s="6">
        <v>2106300</v>
      </c>
      <c r="H111" s="19">
        <v>-778737</v>
      </c>
      <c r="I111" s="20"/>
      <c r="J111" s="20"/>
      <c r="K111" s="21"/>
      <c r="L111" s="15" t="s">
        <v>185</v>
      </c>
    </row>
    <row r="112" spans="1:12" ht="31.05" customHeight="1" x14ac:dyDescent="0.3">
      <c r="A112" s="17" t="s">
        <v>110</v>
      </c>
      <c r="B112" s="18"/>
      <c r="C112" s="3" t="s">
        <v>112</v>
      </c>
      <c r="D112" s="4" t="s">
        <v>18</v>
      </c>
      <c r="E112" s="5"/>
      <c r="F112" s="6">
        <v>1044276</v>
      </c>
      <c r="G112" s="6"/>
      <c r="H112" s="19">
        <v>-2885037</v>
      </c>
      <c r="I112" s="20"/>
      <c r="J112" s="20"/>
      <c r="K112" s="21"/>
      <c r="L112" s="15" t="s">
        <v>196</v>
      </c>
    </row>
    <row r="113" spans="1:12" ht="31.05" customHeight="1" x14ac:dyDescent="0.3">
      <c r="A113" s="17" t="s">
        <v>110</v>
      </c>
      <c r="B113" s="18"/>
      <c r="C113" s="3" t="s">
        <v>113</v>
      </c>
      <c r="D113" s="4" t="s">
        <v>18</v>
      </c>
      <c r="E113" s="5"/>
      <c r="F113" s="6">
        <v>5896350</v>
      </c>
      <c r="G113" s="6"/>
      <c r="H113" s="19">
        <v>-1840761</v>
      </c>
      <c r="I113" s="20"/>
      <c r="J113" s="20"/>
      <c r="K113" s="21"/>
      <c r="L113" s="15" t="s">
        <v>203</v>
      </c>
    </row>
    <row r="114" spans="1:12" ht="31.05" customHeight="1" x14ac:dyDescent="0.3">
      <c r="A114" s="17" t="s">
        <v>110</v>
      </c>
      <c r="B114" s="18"/>
      <c r="C114" s="3" t="s">
        <v>50</v>
      </c>
      <c r="D114" s="4" t="s">
        <v>11</v>
      </c>
      <c r="E114" s="5"/>
      <c r="F114" s="6"/>
      <c r="G114" s="6">
        <v>755305</v>
      </c>
      <c r="H114" s="19">
        <v>4055589</v>
      </c>
      <c r="I114" s="20"/>
      <c r="J114" s="20"/>
      <c r="K114" s="21"/>
      <c r="L114" s="15" t="s">
        <v>185</v>
      </c>
    </row>
    <row r="115" spans="1:12" ht="31.05" customHeight="1" x14ac:dyDescent="0.3">
      <c r="A115" s="17" t="s">
        <v>110</v>
      </c>
      <c r="B115" s="18"/>
      <c r="C115" s="3" t="s">
        <v>107</v>
      </c>
      <c r="D115" s="4" t="s">
        <v>11</v>
      </c>
      <c r="E115" s="5"/>
      <c r="F115" s="6"/>
      <c r="G115" s="6">
        <v>3000000</v>
      </c>
      <c r="H115" s="19">
        <v>3300284</v>
      </c>
      <c r="I115" s="20"/>
      <c r="J115" s="20"/>
      <c r="K115" s="21"/>
      <c r="L115" s="15" t="s">
        <v>185</v>
      </c>
    </row>
    <row r="116" spans="1:12" ht="31.05" customHeight="1" x14ac:dyDescent="0.3">
      <c r="A116" s="17" t="s">
        <v>110</v>
      </c>
      <c r="B116" s="18"/>
      <c r="C116" s="3" t="s">
        <v>114</v>
      </c>
      <c r="D116" s="4" t="s">
        <v>18</v>
      </c>
      <c r="E116" s="5"/>
      <c r="F116" s="6"/>
      <c r="G116" s="6">
        <v>300284</v>
      </c>
      <c r="H116" s="19">
        <v>300284</v>
      </c>
      <c r="I116" s="20"/>
      <c r="J116" s="20"/>
      <c r="K116" s="21"/>
      <c r="L116" s="15" t="s">
        <v>185</v>
      </c>
    </row>
    <row r="117" spans="1:12" ht="31.05" customHeight="1" x14ac:dyDescent="0.3">
      <c r="A117" s="17" t="s">
        <v>115</v>
      </c>
      <c r="B117" s="18"/>
      <c r="C117" s="3" t="s">
        <v>8</v>
      </c>
      <c r="D117" s="4" t="s">
        <v>9</v>
      </c>
      <c r="E117" s="5"/>
      <c r="F117" s="6"/>
      <c r="G117" s="6">
        <v>159165</v>
      </c>
      <c r="H117" s="19">
        <v>0</v>
      </c>
      <c r="I117" s="20"/>
      <c r="J117" s="20"/>
      <c r="K117" s="21"/>
      <c r="L117" s="15" t="s">
        <v>185</v>
      </c>
    </row>
    <row r="118" spans="1:12" ht="31.05" customHeight="1" x14ac:dyDescent="0.3">
      <c r="A118" s="17" t="s">
        <v>115</v>
      </c>
      <c r="B118" s="18"/>
      <c r="C118" s="3" t="s">
        <v>45</v>
      </c>
      <c r="D118" s="4" t="s">
        <v>18</v>
      </c>
      <c r="E118" s="5"/>
      <c r="F118" s="6"/>
      <c r="G118" s="6">
        <v>37890</v>
      </c>
      <c r="H118" s="19">
        <v>-159165</v>
      </c>
      <c r="I118" s="20"/>
      <c r="J118" s="20"/>
      <c r="K118" s="21"/>
      <c r="L118" s="15" t="s">
        <v>185</v>
      </c>
    </row>
    <row r="119" spans="1:12" ht="31.05" customHeight="1" x14ac:dyDescent="0.3">
      <c r="A119" s="17" t="s">
        <v>115</v>
      </c>
      <c r="B119" s="18"/>
      <c r="C119" s="3" t="s">
        <v>45</v>
      </c>
      <c r="D119" s="4" t="s">
        <v>18</v>
      </c>
      <c r="E119" s="5"/>
      <c r="F119" s="6"/>
      <c r="G119" s="6">
        <v>108053</v>
      </c>
      <c r="H119" s="19">
        <v>-197055</v>
      </c>
      <c r="I119" s="20"/>
      <c r="J119" s="20"/>
      <c r="K119" s="21"/>
      <c r="L119" s="15" t="s">
        <v>185</v>
      </c>
    </row>
    <row r="120" spans="1:12" ht="31.05" customHeight="1" x14ac:dyDescent="0.3">
      <c r="A120" s="17" t="s">
        <v>115</v>
      </c>
      <c r="B120" s="18"/>
      <c r="C120" s="3" t="s">
        <v>81</v>
      </c>
      <c r="D120" s="4" t="s">
        <v>116</v>
      </c>
      <c r="E120" s="5" t="s">
        <v>117</v>
      </c>
      <c r="F120" s="6"/>
      <c r="G120" s="6">
        <v>32650</v>
      </c>
      <c r="H120" s="19">
        <v>-305108</v>
      </c>
      <c r="I120" s="20"/>
      <c r="J120" s="20"/>
      <c r="K120" s="21"/>
      <c r="L120" s="15" t="s">
        <v>185</v>
      </c>
    </row>
    <row r="121" spans="1:12" ht="31.05" customHeight="1" x14ac:dyDescent="0.3">
      <c r="A121" s="17" t="s">
        <v>115</v>
      </c>
      <c r="B121" s="18"/>
      <c r="C121" s="3" t="s">
        <v>19</v>
      </c>
      <c r="D121" s="4" t="s">
        <v>18</v>
      </c>
      <c r="E121" s="5"/>
      <c r="F121" s="6">
        <v>5019712</v>
      </c>
      <c r="G121" s="6"/>
      <c r="H121" s="19">
        <v>-337758</v>
      </c>
      <c r="I121" s="20"/>
      <c r="J121" s="20"/>
      <c r="K121" s="21"/>
      <c r="L121" s="15" t="s">
        <v>203</v>
      </c>
    </row>
    <row r="122" spans="1:12" ht="31.05" customHeight="1" x14ac:dyDescent="0.3">
      <c r="A122" s="17" t="s">
        <v>115</v>
      </c>
      <c r="B122" s="18"/>
      <c r="C122" s="3" t="s">
        <v>17</v>
      </c>
      <c r="D122" s="4" t="s">
        <v>18</v>
      </c>
      <c r="E122" s="5"/>
      <c r="F122" s="6"/>
      <c r="G122" s="6">
        <v>120325</v>
      </c>
      <c r="H122" s="19">
        <v>4681954</v>
      </c>
      <c r="I122" s="20"/>
      <c r="J122" s="20"/>
      <c r="K122" s="21"/>
      <c r="L122" s="15" t="s">
        <v>185</v>
      </c>
    </row>
    <row r="123" spans="1:12" ht="31.05" customHeight="1" x14ac:dyDescent="0.3">
      <c r="A123" s="17" t="s">
        <v>115</v>
      </c>
      <c r="B123" s="18"/>
      <c r="C123" s="3" t="s">
        <v>118</v>
      </c>
      <c r="D123" s="4" t="s">
        <v>11</v>
      </c>
      <c r="E123" s="5"/>
      <c r="F123" s="6"/>
      <c r="G123" s="6">
        <v>90480</v>
      </c>
      <c r="H123" s="19">
        <v>4561629</v>
      </c>
      <c r="I123" s="20"/>
      <c r="J123" s="20"/>
      <c r="K123" s="21"/>
      <c r="L123" s="15" t="s">
        <v>185</v>
      </c>
    </row>
    <row r="124" spans="1:12" ht="31.05" customHeight="1" x14ac:dyDescent="0.3">
      <c r="A124" s="17" t="s">
        <v>115</v>
      </c>
      <c r="B124" s="18"/>
      <c r="C124" s="3" t="s">
        <v>119</v>
      </c>
      <c r="D124" s="4" t="s">
        <v>11</v>
      </c>
      <c r="E124" s="5"/>
      <c r="F124" s="6"/>
      <c r="G124" s="6">
        <v>61160</v>
      </c>
      <c r="H124" s="19">
        <v>4471149</v>
      </c>
      <c r="I124" s="20"/>
      <c r="J124" s="20"/>
      <c r="K124" s="21"/>
      <c r="L124" s="15" t="s">
        <v>185</v>
      </c>
    </row>
    <row r="125" spans="1:12" ht="31.05" customHeight="1" x14ac:dyDescent="0.3">
      <c r="A125" s="17" t="s">
        <v>115</v>
      </c>
      <c r="B125" s="18"/>
      <c r="C125" s="3" t="s">
        <v>120</v>
      </c>
      <c r="D125" s="4" t="s">
        <v>11</v>
      </c>
      <c r="E125" s="5"/>
      <c r="F125" s="6"/>
      <c r="G125" s="6">
        <v>153359</v>
      </c>
      <c r="H125" s="19">
        <v>4409989</v>
      </c>
      <c r="I125" s="20"/>
      <c r="J125" s="20"/>
      <c r="K125" s="21"/>
      <c r="L125" s="15" t="s">
        <v>185</v>
      </c>
    </row>
    <row r="126" spans="1:12" ht="31.05" customHeight="1" x14ac:dyDescent="0.3">
      <c r="A126" s="17" t="s">
        <v>115</v>
      </c>
      <c r="B126" s="18"/>
      <c r="C126" s="3" t="s">
        <v>121</v>
      </c>
      <c r="D126" s="4" t="s">
        <v>11</v>
      </c>
      <c r="E126" s="5"/>
      <c r="F126" s="6"/>
      <c r="G126" s="6">
        <v>19448</v>
      </c>
      <c r="H126" s="19">
        <v>4256630</v>
      </c>
      <c r="I126" s="20"/>
      <c r="J126" s="20"/>
      <c r="K126" s="21"/>
      <c r="L126" s="15" t="s">
        <v>185</v>
      </c>
    </row>
    <row r="127" spans="1:12" ht="31.05" customHeight="1" x14ac:dyDescent="0.3">
      <c r="A127" s="17" t="s">
        <v>115</v>
      </c>
      <c r="B127" s="18"/>
      <c r="C127" s="3" t="s">
        <v>122</v>
      </c>
      <c r="D127" s="4" t="s">
        <v>11</v>
      </c>
      <c r="E127" s="5"/>
      <c r="F127" s="6"/>
      <c r="G127" s="6">
        <v>46101</v>
      </c>
      <c r="H127" s="19">
        <v>4237182</v>
      </c>
      <c r="I127" s="20"/>
      <c r="J127" s="20"/>
      <c r="K127" s="21"/>
      <c r="L127" s="15" t="s">
        <v>185</v>
      </c>
    </row>
    <row r="128" spans="1:12" ht="31.05" customHeight="1" x14ac:dyDescent="0.3">
      <c r="A128" s="17" t="s">
        <v>123</v>
      </c>
      <c r="B128" s="18"/>
      <c r="C128" s="3" t="s">
        <v>124</v>
      </c>
      <c r="D128" s="4" t="s">
        <v>11</v>
      </c>
      <c r="E128" s="5"/>
      <c r="F128" s="6"/>
      <c r="G128" s="6">
        <v>49980</v>
      </c>
      <c r="H128" s="19">
        <v>4191081</v>
      </c>
      <c r="I128" s="20"/>
      <c r="J128" s="20"/>
      <c r="K128" s="21"/>
      <c r="L128" s="15" t="s">
        <v>185</v>
      </c>
    </row>
    <row r="129" spans="1:12" ht="31.05" customHeight="1" x14ac:dyDescent="0.3">
      <c r="A129" s="17" t="s">
        <v>123</v>
      </c>
      <c r="B129" s="18"/>
      <c r="C129" s="3" t="s">
        <v>124</v>
      </c>
      <c r="D129" s="4" t="s">
        <v>11</v>
      </c>
      <c r="E129" s="5"/>
      <c r="F129" s="6"/>
      <c r="G129" s="6">
        <v>699720</v>
      </c>
      <c r="H129" s="19">
        <v>4141101</v>
      </c>
      <c r="I129" s="20"/>
      <c r="J129" s="20"/>
      <c r="K129" s="21"/>
      <c r="L129" s="15" t="s">
        <v>185</v>
      </c>
    </row>
    <row r="130" spans="1:12" ht="31.05" customHeight="1" x14ac:dyDescent="0.3">
      <c r="A130" s="17" t="s">
        <v>123</v>
      </c>
      <c r="B130" s="18"/>
      <c r="C130" s="3" t="s">
        <v>125</v>
      </c>
      <c r="D130" s="4" t="s">
        <v>11</v>
      </c>
      <c r="E130" s="5"/>
      <c r="F130" s="6"/>
      <c r="G130" s="6">
        <v>95200</v>
      </c>
      <c r="H130" s="19">
        <v>3441381</v>
      </c>
      <c r="I130" s="20"/>
      <c r="J130" s="20"/>
      <c r="K130" s="21"/>
      <c r="L130" s="15" t="s">
        <v>185</v>
      </c>
    </row>
    <row r="131" spans="1:12" ht="31.05" customHeight="1" x14ac:dyDescent="0.3">
      <c r="A131" s="17" t="s">
        <v>123</v>
      </c>
      <c r="B131" s="18"/>
      <c r="C131" s="3" t="s">
        <v>17</v>
      </c>
      <c r="D131" s="4" t="s">
        <v>18</v>
      </c>
      <c r="E131" s="5"/>
      <c r="F131" s="6"/>
      <c r="G131" s="6">
        <v>54427</v>
      </c>
      <c r="H131" s="19">
        <v>3346181</v>
      </c>
      <c r="I131" s="20"/>
      <c r="J131" s="20"/>
      <c r="K131" s="21"/>
      <c r="L131" s="15" t="s">
        <v>185</v>
      </c>
    </row>
    <row r="132" spans="1:12" ht="31.05" customHeight="1" x14ac:dyDescent="0.3">
      <c r="A132" s="17" t="s">
        <v>123</v>
      </c>
      <c r="B132" s="18"/>
      <c r="C132" s="3" t="s">
        <v>126</v>
      </c>
      <c r="D132" s="4" t="s">
        <v>11</v>
      </c>
      <c r="E132" s="5"/>
      <c r="F132" s="6">
        <v>17136</v>
      </c>
      <c r="G132" s="6"/>
      <c r="H132" s="19">
        <v>3291754</v>
      </c>
      <c r="I132" s="20"/>
      <c r="J132" s="20"/>
      <c r="K132" s="21"/>
      <c r="L132" s="15" t="s">
        <v>206</v>
      </c>
    </row>
    <row r="133" spans="1:12" ht="31.05" customHeight="1" x14ac:dyDescent="0.3">
      <c r="A133" s="17" t="s">
        <v>123</v>
      </c>
      <c r="B133" s="18"/>
      <c r="C133" s="3" t="s">
        <v>127</v>
      </c>
      <c r="D133" s="4" t="s">
        <v>18</v>
      </c>
      <c r="E133" s="5"/>
      <c r="F133" s="6"/>
      <c r="G133" s="6">
        <v>200826</v>
      </c>
      <c r="H133" s="19">
        <v>3308890</v>
      </c>
      <c r="I133" s="20"/>
      <c r="J133" s="20"/>
      <c r="K133" s="21"/>
      <c r="L133" s="15" t="s">
        <v>185</v>
      </c>
    </row>
    <row r="134" spans="1:12" ht="31.05" customHeight="1" x14ac:dyDescent="0.3">
      <c r="A134" s="17" t="s">
        <v>123</v>
      </c>
      <c r="B134" s="18"/>
      <c r="C134" s="3" t="s">
        <v>39</v>
      </c>
      <c r="D134" s="4" t="s">
        <v>11</v>
      </c>
      <c r="E134" s="5"/>
      <c r="F134" s="6"/>
      <c r="G134" s="6">
        <v>190000</v>
      </c>
      <c r="H134" s="19">
        <v>3108064</v>
      </c>
      <c r="I134" s="20"/>
      <c r="J134" s="20"/>
      <c r="K134" s="21"/>
      <c r="L134" s="15" t="s">
        <v>185</v>
      </c>
    </row>
    <row r="135" spans="1:12" ht="31.05" customHeight="1" x14ac:dyDescent="0.3">
      <c r="A135" s="17" t="s">
        <v>123</v>
      </c>
      <c r="B135" s="18"/>
      <c r="C135" s="3" t="s">
        <v>128</v>
      </c>
      <c r="D135" s="4" t="s">
        <v>11</v>
      </c>
      <c r="E135" s="5"/>
      <c r="F135" s="6"/>
      <c r="G135" s="6">
        <v>74964</v>
      </c>
      <c r="H135" s="19">
        <v>2918064</v>
      </c>
      <c r="I135" s="20"/>
      <c r="J135" s="20"/>
      <c r="K135" s="21"/>
      <c r="L135" s="15" t="s">
        <v>185</v>
      </c>
    </row>
    <row r="136" spans="1:12" ht="31.05" customHeight="1" x14ac:dyDescent="0.3">
      <c r="A136" s="17" t="s">
        <v>123</v>
      </c>
      <c r="B136" s="18"/>
      <c r="C136" s="3" t="s">
        <v>129</v>
      </c>
      <c r="D136" s="4" t="s">
        <v>11</v>
      </c>
      <c r="E136" s="5"/>
      <c r="F136" s="6">
        <v>339150</v>
      </c>
      <c r="G136" s="6"/>
      <c r="H136" s="19">
        <v>2843100</v>
      </c>
      <c r="I136" s="20"/>
      <c r="J136" s="20"/>
      <c r="K136" s="21"/>
      <c r="L136" s="15" t="s">
        <v>203</v>
      </c>
    </row>
    <row r="137" spans="1:12" ht="31.05" customHeight="1" x14ac:dyDescent="0.3">
      <c r="A137" s="17" t="s">
        <v>130</v>
      </c>
      <c r="B137" s="18"/>
      <c r="C137" s="3" t="s">
        <v>131</v>
      </c>
      <c r="D137" s="4" t="s">
        <v>11</v>
      </c>
      <c r="E137" s="5"/>
      <c r="F137" s="6"/>
      <c r="G137" s="6">
        <v>90890</v>
      </c>
      <c r="H137" s="19">
        <v>3182250</v>
      </c>
      <c r="I137" s="20"/>
      <c r="J137" s="20"/>
      <c r="K137" s="21"/>
      <c r="L137" s="15" t="s">
        <v>185</v>
      </c>
    </row>
    <row r="138" spans="1:12" ht="31.05" customHeight="1" x14ac:dyDescent="0.3">
      <c r="A138" s="17" t="s">
        <v>130</v>
      </c>
      <c r="B138" s="18"/>
      <c r="C138" s="3" t="s">
        <v>17</v>
      </c>
      <c r="D138" s="4" t="s">
        <v>18</v>
      </c>
      <c r="E138" s="5"/>
      <c r="F138" s="6"/>
      <c r="G138" s="6">
        <v>47846</v>
      </c>
      <c r="H138" s="19">
        <v>3091360</v>
      </c>
      <c r="I138" s="20"/>
      <c r="J138" s="20"/>
      <c r="K138" s="21"/>
      <c r="L138" s="15" t="s">
        <v>185</v>
      </c>
    </row>
    <row r="139" spans="1:12" ht="31.05" customHeight="1" x14ac:dyDescent="0.3">
      <c r="A139" s="17" t="s">
        <v>130</v>
      </c>
      <c r="B139" s="18"/>
      <c r="C139" s="3" t="s">
        <v>132</v>
      </c>
      <c r="D139" s="4" t="s">
        <v>11</v>
      </c>
      <c r="E139" s="5"/>
      <c r="F139" s="6"/>
      <c r="G139" s="6">
        <v>12990</v>
      </c>
      <c r="H139" s="19">
        <v>3043514</v>
      </c>
      <c r="I139" s="20"/>
      <c r="J139" s="20"/>
      <c r="K139" s="21"/>
      <c r="L139" s="15" t="s">
        <v>185</v>
      </c>
    </row>
    <row r="140" spans="1:12" ht="31.05" customHeight="1" x14ac:dyDescent="0.3">
      <c r="A140" s="17" t="s">
        <v>130</v>
      </c>
      <c r="B140" s="18"/>
      <c r="C140" s="3" t="s">
        <v>133</v>
      </c>
      <c r="D140" s="4" t="s">
        <v>11</v>
      </c>
      <c r="E140" s="5"/>
      <c r="F140" s="6"/>
      <c r="G140" s="6">
        <v>39600</v>
      </c>
      <c r="H140" s="19">
        <v>3030524</v>
      </c>
      <c r="I140" s="20"/>
      <c r="J140" s="20"/>
      <c r="K140" s="21"/>
      <c r="L140" s="15" t="s">
        <v>185</v>
      </c>
    </row>
    <row r="141" spans="1:12" ht="31.05" customHeight="1" x14ac:dyDescent="0.3">
      <c r="A141" s="17" t="s">
        <v>134</v>
      </c>
      <c r="B141" s="18"/>
      <c r="C141" s="3" t="s">
        <v>48</v>
      </c>
      <c r="D141" s="4" t="s">
        <v>9</v>
      </c>
      <c r="E141" s="5"/>
      <c r="F141" s="6">
        <v>124912</v>
      </c>
      <c r="G141" s="6"/>
      <c r="H141" s="19">
        <v>2990924</v>
      </c>
      <c r="I141" s="20"/>
      <c r="J141" s="20"/>
      <c r="K141" s="21"/>
      <c r="L141" s="14" t="s">
        <v>204</v>
      </c>
    </row>
    <row r="142" spans="1:12" ht="31.05" customHeight="1" x14ac:dyDescent="0.3">
      <c r="A142" s="17" t="s">
        <v>134</v>
      </c>
      <c r="B142" s="18"/>
      <c r="C142" s="3" t="s">
        <v>135</v>
      </c>
      <c r="D142" s="4" t="s">
        <v>18</v>
      </c>
      <c r="E142" s="5"/>
      <c r="F142" s="6"/>
      <c r="G142" s="6">
        <v>212183</v>
      </c>
      <c r="H142" s="19">
        <v>3115836</v>
      </c>
      <c r="I142" s="20"/>
      <c r="J142" s="20"/>
      <c r="K142" s="21"/>
      <c r="L142" s="15" t="s">
        <v>185</v>
      </c>
    </row>
    <row r="143" spans="1:12" ht="31.05" customHeight="1" x14ac:dyDescent="0.3">
      <c r="A143" s="17" t="s">
        <v>134</v>
      </c>
      <c r="B143" s="18"/>
      <c r="C143" s="3" t="s">
        <v>17</v>
      </c>
      <c r="D143" s="4" t="s">
        <v>18</v>
      </c>
      <c r="E143" s="5"/>
      <c r="F143" s="6"/>
      <c r="G143" s="6">
        <v>145692</v>
      </c>
      <c r="H143" s="19">
        <v>2903653</v>
      </c>
      <c r="I143" s="20"/>
      <c r="J143" s="20"/>
      <c r="K143" s="21"/>
      <c r="L143" s="15" t="s">
        <v>185</v>
      </c>
    </row>
    <row r="144" spans="1:12" ht="31.05" customHeight="1" x14ac:dyDescent="0.3">
      <c r="A144" s="17" t="s">
        <v>134</v>
      </c>
      <c r="B144" s="18"/>
      <c r="C144" s="3" t="s">
        <v>136</v>
      </c>
      <c r="D144" s="4" t="s">
        <v>18</v>
      </c>
      <c r="E144" s="5"/>
      <c r="F144" s="6"/>
      <c r="G144" s="6">
        <v>4608822</v>
      </c>
      <c r="H144" s="19">
        <v>2757961</v>
      </c>
      <c r="I144" s="20"/>
      <c r="J144" s="20"/>
      <c r="K144" s="21"/>
      <c r="L144" s="15" t="s">
        <v>185</v>
      </c>
    </row>
    <row r="145" spans="1:12" ht="31.05" customHeight="1" x14ac:dyDescent="0.3">
      <c r="A145" s="17" t="s">
        <v>134</v>
      </c>
      <c r="B145" s="18"/>
      <c r="C145" s="3" t="s">
        <v>137</v>
      </c>
      <c r="D145" s="4" t="s">
        <v>18</v>
      </c>
      <c r="E145" s="5"/>
      <c r="F145" s="6"/>
      <c r="G145" s="6">
        <v>72626</v>
      </c>
      <c r="H145" s="19">
        <v>-1850861</v>
      </c>
      <c r="I145" s="20"/>
      <c r="J145" s="20"/>
      <c r="K145" s="21"/>
      <c r="L145" s="15" t="s">
        <v>185</v>
      </c>
    </row>
    <row r="146" spans="1:12" ht="31.05" customHeight="1" x14ac:dyDescent="0.3">
      <c r="A146" s="17" t="s">
        <v>134</v>
      </c>
      <c r="B146" s="18"/>
      <c r="C146" s="3" t="s">
        <v>138</v>
      </c>
      <c r="D146" s="4" t="s">
        <v>11</v>
      </c>
      <c r="E146" s="5"/>
      <c r="F146" s="6">
        <v>884144</v>
      </c>
      <c r="G146" s="6"/>
      <c r="H146" s="19">
        <v>-1923487</v>
      </c>
      <c r="I146" s="20"/>
      <c r="J146" s="20"/>
      <c r="K146" s="21"/>
      <c r="L146" s="15" t="s">
        <v>203</v>
      </c>
    </row>
    <row r="147" spans="1:12" ht="31.05" customHeight="1" x14ac:dyDescent="0.3">
      <c r="A147" s="17" t="s">
        <v>134</v>
      </c>
      <c r="B147" s="18"/>
      <c r="C147" s="3" t="s">
        <v>139</v>
      </c>
      <c r="D147" s="4" t="s">
        <v>11</v>
      </c>
      <c r="E147" s="5"/>
      <c r="F147" s="6"/>
      <c r="G147" s="6">
        <v>114271</v>
      </c>
      <c r="H147" s="19">
        <v>-1039343</v>
      </c>
      <c r="I147" s="20"/>
      <c r="J147" s="20"/>
      <c r="K147" s="21"/>
      <c r="L147" s="15" t="s">
        <v>185</v>
      </c>
    </row>
    <row r="148" spans="1:12" ht="31.05" customHeight="1" x14ac:dyDescent="0.3">
      <c r="A148" s="17" t="s">
        <v>134</v>
      </c>
      <c r="B148" s="18"/>
      <c r="C148" s="3" t="s">
        <v>140</v>
      </c>
      <c r="D148" s="4" t="s">
        <v>11</v>
      </c>
      <c r="E148" s="5"/>
      <c r="F148" s="6">
        <v>952000</v>
      </c>
      <c r="G148" s="6"/>
      <c r="H148" s="19">
        <v>-1153614</v>
      </c>
      <c r="I148" s="20"/>
      <c r="J148" s="20"/>
      <c r="K148" s="21"/>
      <c r="L148" s="15" t="s">
        <v>206</v>
      </c>
    </row>
    <row r="149" spans="1:12" ht="31.05" customHeight="1" x14ac:dyDescent="0.3">
      <c r="A149" s="17" t="s">
        <v>134</v>
      </c>
      <c r="B149" s="18"/>
      <c r="C149" s="3" t="s">
        <v>28</v>
      </c>
      <c r="D149" s="4" t="s">
        <v>18</v>
      </c>
      <c r="E149" s="5"/>
      <c r="F149" s="6">
        <v>132694</v>
      </c>
      <c r="G149" s="6"/>
      <c r="H149" s="19">
        <v>-201614</v>
      </c>
      <c r="I149" s="20"/>
      <c r="J149" s="20"/>
      <c r="K149" s="21"/>
      <c r="L149" s="15" t="s">
        <v>203</v>
      </c>
    </row>
    <row r="150" spans="1:12" ht="31.05" customHeight="1" x14ac:dyDescent="0.3">
      <c r="A150" s="17" t="s">
        <v>134</v>
      </c>
      <c r="B150" s="18"/>
      <c r="C150" s="3" t="s">
        <v>141</v>
      </c>
      <c r="D150" s="4" t="s">
        <v>11</v>
      </c>
      <c r="E150" s="5"/>
      <c r="F150" s="6">
        <v>68920</v>
      </c>
      <c r="G150" s="6"/>
      <c r="H150" s="19">
        <v>-68920</v>
      </c>
      <c r="I150" s="20"/>
      <c r="J150" s="20"/>
      <c r="K150" s="21"/>
      <c r="L150" s="15" t="s">
        <v>206</v>
      </c>
    </row>
    <row r="151" spans="1:12" ht="31.05" customHeight="1" x14ac:dyDescent="0.3">
      <c r="A151" s="17" t="s">
        <v>142</v>
      </c>
      <c r="B151" s="18"/>
      <c r="C151" s="3" t="s">
        <v>48</v>
      </c>
      <c r="D151" s="4" t="s">
        <v>9</v>
      </c>
      <c r="E151" s="5"/>
      <c r="F151" s="6">
        <v>348237</v>
      </c>
      <c r="G151" s="6"/>
      <c r="H151" s="19">
        <v>0</v>
      </c>
      <c r="I151" s="20"/>
      <c r="J151" s="20"/>
      <c r="K151" s="21"/>
      <c r="L151" s="14" t="s">
        <v>204</v>
      </c>
    </row>
    <row r="152" spans="1:12" ht="31.05" customHeight="1" x14ac:dyDescent="0.3">
      <c r="A152" s="17" t="s">
        <v>142</v>
      </c>
      <c r="B152" s="18"/>
      <c r="C152" s="3" t="s">
        <v>143</v>
      </c>
      <c r="D152" s="4" t="s">
        <v>18</v>
      </c>
      <c r="E152" s="5"/>
      <c r="F152" s="6">
        <v>7508</v>
      </c>
      <c r="G152" s="6"/>
      <c r="H152" s="19">
        <v>348237</v>
      </c>
      <c r="I152" s="20"/>
      <c r="J152" s="20"/>
      <c r="K152" s="21"/>
      <c r="L152" s="15" t="s">
        <v>198</v>
      </c>
    </row>
    <row r="153" spans="1:12" ht="31.05" customHeight="1" x14ac:dyDescent="0.3">
      <c r="A153" s="17" t="s">
        <v>142</v>
      </c>
      <c r="B153" s="18"/>
      <c r="C153" s="3" t="s">
        <v>143</v>
      </c>
      <c r="D153" s="4" t="s">
        <v>18</v>
      </c>
      <c r="E153" s="5"/>
      <c r="F153" s="6">
        <v>13430</v>
      </c>
      <c r="G153" s="6"/>
      <c r="H153" s="19">
        <v>355745</v>
      </c>
      <c r="I153" s="20"/>
      <c r="J153" s="20"/>
      <c r="K153" s="21"/>
      <c r="L153" s="15" t="s">
        <v>198</v>
      </c>
    </row>
    <row r="154" spans="1:12" ht="31.05" customHeight="1" x14ac:dyDescent="0.3">
      <c r="A154" s="17" t="s">
        <v>142</v>
      </c>
      <c r="B154" s="18"/>
      <c r="C154" s="3" t="s">
        <v>144</v>
      </c>
      <c r="D154" s="4" t="s">
        <v>11</v>
      </c>
      <c r="E154" s="5"/>
      <c r="F154" s="6"/>
      <c r="G154" s="6">
        <v>33078</v>
      </c>
      <c r="H154" s="19">
        <v>369175</v>
      </c>
      <c r="I154" s="20"/>
      <c r="J154" s="20"/>
      <c r="K154" s="21"/>
      <c r="L154" s="15" t="s">
        <v>185</v>
      </c>
    </row>
    <row r="155" spans="1:12" ht="31.05" customHeight="1" x14ac:dyDescent="0.3">
      <c r="A155" s="17" t="s">
        <v>142</v>
      </c>
      <c r="B155" s="18"/>
      <c r="C155" s="3" t="s">
        <v>17</v>
      </c>
      <c r="D155" s="4" t="s">
        <v>18</v>
      </c>
      <c r="E155" s="5"/>
      <c r="F155" s="6"/>
      <c r="G155" s="6">
        <v>163587</v>
      </c>
      <c r="H155" s="19">
        <v>336097</v>
      </c>
      <c r="I155" s="20"/>
      <c r="J155" s="20"/>
      <c r="K155" s="21"/>
      <c r="L155" s="15" t="s">
        <v>185</v>
      </c>
    </row>
    <row r="156" spans="1:12" ht="31.05" customHeight="1" x14ac:dyDescent="0.3">
      <c r="A156" s="17" t="s">
        <v>142</v>
      </c>
      <c r="B156" s="18"/>
      <c r="C156" s="3" t="s">
        <v>145</v>
      </c>
      <c r="D156" s="4" t="s">
        <v>11</v>
      </c>
      <c r="E156" s="5"/>
      <c r="F156" s="6"/>
      <c r="G156" s="6">
        <v>130298</v>
      </c>
      <c r="H156" s="19">
        <v>172510</v>
      </c>
      <c r="I156" s="20"/>
      <c r="J156" s="20"/>
      <c r="K156" s="21"/>
      <c r="L156" s="15" t="s">
        <v>185</v>
      </c>
    </row>
    <row r="157" spans="1:12" ht="31.05" customHeight="1" x14ac:dyDescent="0.3">
      <c r="A157" s="17" t="s">
        <v>142</v>
      </c>
      <c r="B157" s="18"/>
      <c r="C157" s="3" t="s">
        <v>146</v>
      </c>
      <c r="D157" s="4" t="s">
        <v>11</v>
      </c>
      <c r="E157" s="5"/>
      <c r="F157" s="6"/>
      <c r="G157" s="6">
        <v>42212</v>
      </c>
      <c r="H157" s="19">
        <v>42212</v>
      </c>
      <c r="I157" s="20"/>
      <c r="J157" s="20"/>
      <c r="K157" s="21"/>
      <c r="L157" s="15" t="s">
        <v>185</v>
      </c>
    </row>
    <row r="158" spans="1:12" ht="31.05" customHeight="1" x14ac:dyDescent="0.3">
      <c r="A158" s="17" t="s">
        <v>147</v>
      </c>
      <c r="B158" s="18"/>
      <c r="C158" s="3" t="s">
        <v>8</v>
      </c>
      <c r="D158" s="4" t="s">
        <v>9</v>
      </c>
      <c r="E158" s="5"/>
      <c r="F158" s="6"/>
      <c r="G158" s="6">
        <v>473149</v>
      </c>
      <c r="H158" s="19">
        <v>0</v>
      </c>
      <c r="I158" s="20"/>
      <c r="J158" s="20"/>
      <c r="K158" s="21"/>
      <c r="L158" s="15" t="s">
        <v>185</v>
      </c>
    </row>
    <row r="159" spans="1:12" ht="31.05" customHeight="1" x14ac:dyDescent="0.3">
      <c r="A159" s="17" t="s">
        <v>147</v>
      </c>
      <c r="B159" s="18"/>
      <c r="C159" s="3" t="s">
        <v>45</v>
      </c>
      <c r="D159" s="4" t="s">
        <v>18</v>
      </c>
      <c r="E159" s="5"/>
      <c r="F159" s="6"/>
      <c r="G159" s="6">
        <v>180218</v>
      </c>
      <c r="H159" s="19">
        <v>-473149</v>
      </c>
      <c r="I159" s="20"/>
      <c r="J159" s="20"/>
      <c r="K159" s="21"/>
      <c r="L159" s="15" t="s">
        <v>185</v>
      </c>
    </row>
    <row r="160" spans="1:12" ht="31.05" customHeight="1" x14ac:dyDescent="0.3">
      <c r="A160" s="17" t="s">
        <v>147</v>
      </c>
      <c r="B160" s="18"/>
      <c r="C160" s="3" t="s">
        <v>17</v>
      </c>
      <c r="D160" s="4" t="s">
        <v>18</v>
      </c>
      <c r="E160" s="5"/>
      <c r="F160" s="6"/>
      <c r="G160" s="6">
        <v>96242</v>
      </c>
      <c r="H160" s="19">
        <v>-653367</v>
      </c>
      <c r="I160" s="20"/>
      <c r="J160" s="20"/>
      <c r="K160" s="21"/>
      <c r="L160" s="15" t="s">
        <v>185</v>
      </c>
    </row>
    <row r="161" spans="1:12" ht="31.05" customHeight="1" x14ac:dyDescent="0.3">
      <c r="A161" s="17" t="s">
        <v>147</v>
      </c>
      <c r="B161" s="18"/>
      <c r="C161" s="3" t="s">
        <v>60</v>
      </c>
      <c r="D161" s="4" t="s">
        <v>11</v>
      </c>
      <c r="E161" s="5"/>
      <c r="F161" s="6">
        <v>113369</v>
      </c>
      <c r="G161" s="6"/>
      <c r="H161" s="19">
        <v>-749609</v>
      </c>
      <c r="I161" s="20"/>
      <c r="J161" s="20"/>
      <c r="K161" s="21"/>
      <c r="L161" s="15" t="s">
        <v>206</v>
      </c>
    </row>
    <row r="162" spans="1:12" ht="31.05" customHeight="1" x14ac:dyDescent="0.3">
      <c r="A162" s="17" t="s">
        <v>147</v>
      </c>
      <c r="B162" s="18"/>
      <c r="C162" s="3" t="s">
        <v>19</v>
      </c>
      <c r="D162" s="4" t="s">
        <v>18</v>
      </c>
      <c r="E162" s="5"/>
      <c r="F162" s="6">
        <v>4340917</v>
      </c>
      <c r="G162" s="6"/>
      <c r="H162" s="19">
        <v>-636240</v>
      </c>
      <c r="I162" s="20"/>
      <c r="J162" s="20"/>
      <c r="K162" s="21"/>
      <c r="L162" s="15" t="s">
        <v>203</v>
      </c>
    </row>
    <row r="163" spans="1:12" ht="31.05" customHeight="1" x14ac:dyDescent="0.3">
      <c r="A163" s="17" t="s">
        <v>147</v>
      </c>
      <c r="B163" s="18"/>
      <c r="C163" s="3" t="s">
        <v>148</v>
      </c>
      <c r="D163" s="4" t="s">
        <v>11</v>
      </c>
      <c r="E163" s="5"/>
      <c r="F163" s="6">
        <v>90000</v>
      </c>
      <c r="G163" s="6"/>
      <c r="H163" s="19">
        <v>3704677</v>
      </c>
      <c r="I163" s="20"/>
      <c r="J163" s="20"/>
      <c r="K163" s="21"/>
      <c r="L163" s="15" t="s">
        <v>192</v>
      </c>
    </row>
    <row r="164" spans="1:12" ht="31.05" customHeight="1" x14ac:dyDescent="0.3">
      <c r="A164" s="17" t="s">
        <v>147</v>
      </c>
      <c r="B164" s="18"/>
      <c r="C164" s="3" t="s">
        <v>149</v>
      </c>
      <c r="D164" s="4" t="s">
        <v>11</v>
      </c>
      <c r="E164" s="5"/>
      <c r="F164" s="6">
        <v>95000</v>
      </c>
      <c r="G164" s="6"/>
      <c r="H164" s="19">
        <v>3794677</v>
      </c>
      <c r="I164" s="20"/>
      <c r="J164" s="20"/>
      <c r="K164" s="21"/>
      <c r="L164" s="15" t="s">
        <v>192</v>
      </c>
    </row>
    <row r="165" spans="1:12" ht="31.05" customHeight="1" x14ac:dyDescent="0.3">
      <c r="A165" s="17" t="s">
        <v>147</v>
      </c>
      <c r="B165" s="18"/>
      <c r="C165" s="3" t="s">
        <v>150</v>
      </c>
      <c r="D165" s="4" t="s">
        <v>11</v>
      </c>
      <c r="E165" s="5"/>
      <c r="F165" s="6">
        <v>700000</v>
      </c>
      <c r="G165" s="6"/>
      <c r="H165" s="19">
        <v>3889677</v>
      </c>
      <c r="I165" s="20"/>
      <c r="J165" s="20"/>
      <c r="K165" s="21"/>
      <c r="L165" s="15" t="s">
        <v>192</v>
      </c>
    </row>
    <row r="166" spans="1:12" ht="31.05" customHeight="1" x14ac:dyDescent="0.3">
      <c r="A166" s="17" t="s">
        <v>147</v>
      </c>
      <c r="B166" s="18"/>
      <c r="C166" s="3" t="s">
        <v>12</v>
      </c>
      <c r="D166" s="4" t="s">
        <v>11</v>
      </c>
      <c r="E166" s="5"/>
      <c r="F166" s="6"/>
      <c r="G166" s="6">
        <v>483999</v>
      </c>
      <c r="H166" s="19">
        <v>4589677</v>
      </c>
      <c r="I166" s="20"/>
      <c r="J166" s="20"/>
      <c r="K166" s="21"/>
      <c r="L166" s="15" t="s">
        <v>185</v>
      </c>
    </row>
    <row r="167" spans="1:12" ht="31.05" customHeight="1" x14ac:dyDescent="0.3">
      <c r="A167" s="17" t="s">
        <v>151</v>
      </c>
      <c r="B167" s="18"/>
      <c r="C167" s="3" t="s">
        <v>152</v>
      </c>
      <c r="D167" s="4" t="s">
        <v>9</v>
      </c>
      <c r="E167" s="5"/>
      <c r="F167" s="6">
        <v>11081</v>
      </c>
      <c r="G167" s="6"/>
      <c r="H167" s="19">
        <v>4105678</v>
      </c>
      <c r="I167" s="20"/>
      <c r="J167" s="20"/>
      <c r="K167" s="21"/>
      <c r="L167" s="15" t="s">
        <v>198</v>
      </c>
    </row>
    <row r="168" spans="1:12" ht="31.05" customHeight="1" x14ac:dyDescent="0.3">
      <c r="A168" s="17" t="s">
        <v>151</v>
      </c>
      <c r="B168" s="18"/>
      <c r="C168" s="3" t="s">
        <v>153</v>
      </c>
      <c r="D168" s="4" t="s">
        <v>9</v>
      </c>
      <c r="E168" s="5"/>
      <c r="F168" s="6">
        <v>1549</v>
      </c>
      <c r="G168" s="6"/>
      <c r="H168" s="19">
        <v>4116759</v>
      </c>
      <c r="I168" s="20"/>
      <c r="J168" s="20"/>
      <c r="K168" s="21"/>
      <c r="L168" s="15" t="s">
        <v>198</v>
      </c>
    </row>
    <row r="169" spans="1:12" ht="31.05" customHeight="1" x14ac:dyDescent="0.3">
      <c r="A169" s="17" t="s">
        <v>151</v>
      </c>
      <c r="B169" s="18"/>
      <c r="C169" s="3" t="s">
        <v>67</v>
      </c>
      <c r="D169" s="4" t="s">
        <v>11</v>
      </c>
      <c r="E169" s="5"/>
      <c r="F169" s="6"/>
      <c r="G169" s="6">
        <v>89985</v>
      </c>
      <c r="H169" s="19">
        <v>4118308</v>
      </c>
      <c r="I169" s="20"/>
      <c r="J169" s="20"/>
      <c r="K169" s="21"/>
      <c r="L169" s="15" t="s">
        <v>185</v>
      </c>
    </row>
    <row r="170" spans="1:12" ht="31.05" customHeight="1" x14ac:dyDescent="0.3">
      <c r="A170" s="17" t="s">
        <v>151</v>
      </c>
      <c r="B170" s="18"/>
      <c r="C170" s="3" t="s">
        <v>17</v>
      </c>
      <c r="D170" s="4" t="s">
        <v>18</v>
      </c>
      <c r="E170" s="5"/>
      <c r="F170" s="6"/>
      <c r="G170" s="6">
        <v>80522</v>
      </c>
      <c r="H170" s="19">
        <v>4028323</v>
      </c>
      <c r="I170" s="20"/>
      <c r="J170" s="20"/>
      <c r="K170" s="21"/>
      <c r="L170" s="15" t="s">
        <v>185</v>
      </c>
    </row>
    <row r="171" spans="1:12" ht="31.05" customHeight="1" x14ac:dyDescent="0.3">
      <c r="A171" s="17" t="s">
        <v>151</v>
      </c>
      <c r="B171" s="18"/>
      <c r="C171" s="3" t="s">
        <v>154</v>
      </c>
      <c r="D171" s="4" t="s">
        <v>18</v>
      </c>
      <c r="E171" s="5"/>
      <c r="F171" s="6"/>
      <c r="G171" s="6">
        <v>421641</v>
      </c>
      <c r="H171" s="19">
        <v>3947801</v>
      </c>
      <c r="I171" s="20"/>
      <c r="J171" s="20"/>
      <c r="K171" s="21"/>
      <c r="L171" s="15" t="s">
        <v>185</v>
      </c>
    </row>
    <row r="172" spans="1:12" ht="31.05" customHeight="1" x14ac:dyDescent="0.3">
      <c r="A172" s="17" t="s">
        <v>151</v>
      </c>
      <c r="B172" s="18"/>
      <c r="C172" s="3" t="s">
        <v>155</v>
      </c>
      <c r="D172" s="4" t="s">
        <v>11</v>
      </c>
      <c r="E172" s="5"/>
      <c r="F172" s="6"/>
      <c r="G172" s="6">
        <v>55170</v>
      </c>
      <c r="H172" s="19">
        <v>3526160</v>
      </c>
      <c r="I172" s="20"/>
      <c r="J172" s="20"/>
      <c r="K172" s="21"/>
      <c r="L172" s="15" t="s">
        <v>185</v>
      </c>
    </row>
    <row r="173" spans="1:12" ht="31.05" customHeight="1" x14ac:dyDescent="0.3">
      <c r="A173" s="17" t="s">
        <v>151</v>
      </c>
      <c r="B173" s="18"/>
      <c r="C173" s="3" t="s">
        <v>39</v>
      </c>
      <c r="D173" s="4" t="s">
        <v>11</v>
      </c>
      <c r="E173" s="5"/>
      <c r="F173" s="6"/>
      <c r="G173" s="6">
        <v>190000</v>
      </c>
      <c r="H173" s="19">
        <v>3470990</v>
      </c>
      <c r="I173" s="20"/>
      <c r="J173" s="20"/>
      <c r="K173" s="21"/>
      <c r="L173" s="15" t="s">
        <v>185</v>
      </c>
    </row>
    <row r="174" spans="1:12" ht="31.05" customHeight="1" x14ac:dyDescent="0.3">
      <c r="A174" s="17" t="s">
        <v>151</v>
      </c>
      <c r="B174" s="18"/>
      <c r="C174" s="3" t="s">
        <v>156</v>
      </c>
      <c r="D174" s="4" t="s">
        <v>11</v>
      </c>
      <c r="E174" s="5"/>
      <c r="F174" s="6"/>
      <c r="G174" s="6">
        <v>60109</v>
      </c>
      <c r="H174" s="19">
        <v>3280990</v>
      </c>
      <c r="I174" s="20"/>
      <c r="J174" s="20"/>
      <c r="K174" s="21"/>
      <c r="L174" s="15" t="s">
        <v>185</v>
      </c>
    </row>
    <row r="175" spans="1:12" ht="31.05" customHeight="1" x14ac:dyDescent="0.3">
      <c r="A175" s="17" t="s">
        <v>157</v>
      </c>
      <c r="B175" s="18"/>
      <c r="C175" s="3" t="s">
        <v>48</v>
      </c>
      <c r="D175" s="4" t="s">
        <v>9</v>
      </c>
      <c r="E175" s="5"/>
      <c r="F175" s="6">
        <v>940081</v>
      </c>
      <c r="G175" s="6"/>
      <c r="H175" s="19">
        <v>3220881</v>
      </c>
      <c r="I175" s="20"/>
      <c r="J175" s="20"/>
      <c r="K175" s="21"/>
      <c r="L175" s="14" t="s">
        <v>204</v>
      </c>
    </row>
    <row r="176" spans="1:12" ht="31.05" customHeight="1" x14ac:dyDescent="0.3">
      <c r="A176" s="17" t="s">
        <v>157</v>
      </c>
      <c r="B176" s="18"/>
      <c r="C176" s="3" t="s">
        <v>17</v>
      </c>
      <c r="D176" s="4" t="s">
        <v>18</v>
      </c>
      <c r="E176" s="5"/>
      <c r="F176" s="6"/>
      <c r="G176" s="6">
        <v>119448</v>
      </c>
      <c r="H176" s="19">
        <v>4160962</v>
      </c>
      <c r="I176" s="20"/>
      <c r="J176" s="20"/>
      <c r="K176" s="21"/>
      <c r="L176" s="15" t="s">
        <v>185</v>
      </c>
    </row>
    <row r="177" spans="1:12" ht="31.05" customHeight="1" x14ac:dyDescent="0.3">
      <c r="A177" s="17" t="s">
        <v>157</v>
      </c>
      <c r="B177" s="18"/>
      <c r="C177" s="3" t="s">
        <v>158</v>
      </c>
      <c r="D177" s="4" t="s">
        <v>11</v>
      </c>
      <c r="E177" s="5"/>
      <c r="F177" s="6"/>
      <c r="G177" s="6">
        <v>32569</v>
      </c>
      <c r="H177" s="19">
        <v>4041514</v>
      </c>
      <c r="I177" s="20"/>
      <c r="J177" s="20"/>
      <c r="K177" s="21"/>
      <c r="L177" s="15" t="s">
        <v>185</v>
      </c>
    </row>
    <row r="178" spans="1:12" ht="31.05" customHeight="1" x14ac:dyDescent="0.3">
      <c r="A178" s="17" t="s">
        <v>157</v>
      </c>
      <c r="B178" s="18"/>
      <c r="C178" s="3" t="s">
        <v>16</v>
      </c>
      <c r="D178" s="4" t="s">
        <v>11</v>
      </c>
      <c r="E178" s="5"/>
      <c r="F178" s="6">
        <v>297500</v>
      </c>
      <c r="G178" s="6"/>
      <c r="H178" s="19">
        <v>4008945</v>
      </c>
      <c r="I178" s="20"/>
      <c r="J178" s="20"/>
      <c r="K178" s="21"/>
      <c r="L178" s="15" t="s">
        <v>203</v>
      </c>
    </row>
    <row r="179" spans="1:12" ht="31.05" customHeight="1" x14ac:dyDescent="0.3">
      <c r="A179" s="17" t="s">
        <v>157</v>
      </c>
      <c r="B179" s="18"/>
      <c r="C179" s="3" t="s">
        <v>159</v>
      </c>
      <c r="D179" s="4" t="s">
        <v>11</v>
      </c>
      <c r="E179" s="5"/>
      <c r="F179" s="6"/>
      <c r="G179" s="6">
        <v>30728</v>
      </c>
      <c r="H179" s="19">
        <v>4306445</v>
      </c>
      <c r="I179" s="20"/>
      <c r="J179" s="20"/>
      <c r="K179" s="21"/>
      <c r="L179" s="15" t="s">
        <v>185</v>
      </c>
    </row>
    <row r="180" spans="1:12" ht="31.05" customHeight="1" x14ac:dyDescent="0.3">
      <c r="A180" s="17" t="s">
        <v>157</v>
      </c>
      <c r="B180" s="18"/>
      <c r="C180" s="3" t="s">
        <v>160</v>
      </c>
      <c r="D180" s="4" t="s">
        <v>18</v>
      </c>
      <c r="E180" s="5"/>
      <c r="F180" s="6"/>
      <c r="G180" s="6">
        <v>734539</v>
      </c>
      <c r="H180" s="19">
        <v>4275717</v>
      </c>
      <c r="I180" s="20"/>
      <c r="J180" s="20"/>
      <c r="K180" s="21"/>
      <c r="L180" s="15" t="s">
        <v>185</v>
      </c>
    </row>
    <row r="181" spans="1:12" ht="31.05" customHeight="1" x14ac:dyDescent="0.3">
      <c r="A181" s="17" t="s">
        <v>157</v>
      </c>
      <c r="B181" s="18"/>
      <c r="C181" s="3" t="s">
        <v>161</v>
      </c>
      <c r="D181" s="4" t="s">
        <v>11</v>
      </c>
      <c r="E181" s="5"/>
      <c r="F181" s="6"/>
      <c r="G181" s="6">
        <v>312127</v>
      </c>
      <c r="H181" s="19">
        <v>3541178</v>
      </c>
      <c r="I181" s="20"/>
      <c r="J181" s="20"/>
      <c r="K181" s="21"/>
      <c r="L181" s="15" t="s">
        <v>185</v>
      </c>
    </row>
    <row r="182" spans="1:12" ht="31.05" customHeight="1" x14ac:dyDescent="0.3">
      <c r="A182" s="17" t="s">
        <v>157</v>
      </c>
      <c r="B182" s="18"/>
      <c r="C182" s="3" t="s">
        <v>162</v>
      </c>
      <c r="D182" s="4" t="s">
        <v>11</v>
      </c>
      <c r="E182" s="5"/>
      <c r="F182" s="6"/>
      <c r="G182" s="6">
        <v>72441</v>
      </c>
      <c r="H182" s="19">
        <v>3229051</v>
      </c>
      <c r="I182" s="20"/>
      <c r="J182" s="20"/>
      <c r="K182" s="21"/>
      <c r="L182" s="15" t="s">
        <v>185</v>
      </c>
    </row>
    <row r="183" spans="1:12" ht="31.05" customHeight="1" x14ac:dyDescent="0.3">
      <c r="A183" s="17" t="s">
        <v>157</v>
      </c>
      <c r="B183" s="18"/>
      <c r="C183" s="3" t="s">
        <v>163</v>
      </c>
      <c r="D183" s="4" t="s">
        <v>11</v>
      </c>
      <c r="E183" s="5"/>
      <c r="F183" s="6"/>
      <c r="G183" s="6">
        <v>102937</v>
      </c>
      <c r="H183" s="19">
        <v>3156610</v>
      </c>
      <c r="I183" s="20"/>
      <c r="J183" s="20"/>
      <c r="K183" s="21"/>
      <c r="L183" s="15" t="s">
        <v>185</v>
      </c>
    </row>
    <row r="184" spans="1:12" ht="31.05" customHeight="1" x14ac:dyDescent="0.3">
      <c r="A184" s="17" t="s">
        <v>157</v>
      </c>
      <c r="B184" s="18"/>
      <c r="C184" s="3" t="s">
        <v>163</v>
      </c>
      <c r="D184" s="4" t="s">
        <v>11</v>
      </c>
      <c r="E184" s="5"/>
      <c r="F184" s="6"/>
      <c r="G184" s="6">
        <v>67410</v>
      </c>
      <c r="H184" s="19">
        <v>3053673</v>
      </c>
      <c r="I184" s="20"/>
      <c r="J184" s="20"/>
      <c r="K184" s="21"/>
      <c r="L184" s="15" t="s">
        <v>185</v>
      </c>
    </row>
    <row r="185" spans="1:12" ht="31.05" customHeight="1" x14ac:dyDescent="0.3">
      <c r="A185" s="17" t="s">
        <v>157</v>
      </c>
      <c r="B185" s="18"/>
      <c r="C185" s="3" t="s">
        <v>164</v>
      </c>
      <c r="D185" s="4" t="s">
        <v>11</v>
      </c>
      <c r="E185" s="5"/>
      <c r="F185" s="6"/>
      <c r="G185" s="6">
        <v>42518</v>
      </c>
      <c r="H185" s="19">
        <v>2986263</v>
      </c>
      <c r="I185" s="20"/>
      <c r="J185" s="20"/>
      <c r="K185" s="21"/>
      <c r="L185" s="15" t="s">
        <v>185</v>
      </c>
    </row>
    <row r="186" spans="1:12" ht="31.05" customHeight="1" x14ac:dyDescent="0.3">
      <c r="A186" s="17" t="s">
        <v>157</v>
      </c>
      <c r="B186" s="18"/>
      <c r="C186" s="3" t="s">
        <v>165</v>
      </c>
      <c r="D186" s="4" t="s">
        <v>11</v>
      </c>
      <c r="E186" s="5"/>
      <c r="F186" s="6"/>
      <c r="G186" s="6">
        <v>80605</v>
      </c>
      <c r="H186" s="19">
        <v>2943745</v>
      </c>
      <c r="I186" s="20"/>
      <c r="J186" s="20"/>
      <c r="K186" s="21"/>
    </row>
    <row r="187" spans="1:12" x14ac:dyDescent="0.3">
      <c r="A187" s="17" t="s">
        <v>303</v>
      </c>
      <c r="B187" s="18"/>
      <c r="C187" s="3" t="s">
        <v>48</v>
      </c>
      <c r="D187" s="4" t="s">
        <v>9</v>
      </c>
      <c r="E187" s="5"/>
      <c r="F187" s="6">
        <v>990661</v>
      </c>
      <c r="G187" s="6"/>
      <c r="H187" s="19">
        <v>4214276</v>
      </c>
      <c r="I187" s="20"/>
      <c r="J187" s="20"/>
      <c r="K187" s="21"/>
    </row>
    <row r="188" spans="1:12" x14ac:dyDescent="0.3">
      <c r="A188" s="17" t="s">
        <v>303</v>
      </c>
      <c r="B188" s="18"/>
      <c r="C188" s="3" t="s">
        <v>13</v>
      </c>
      <c r="D188" s="4" t="s">
        <v>11</v>
      </c>
      <c r="E188" s="5"/>
      <c r="F188" s="6"/>
      <c r="G188" s="6">
        <v>164722</v>
      </c>
      <c r="H188" s="19">
        <v>5204937</v>
      </c>
      <c r="I188" s="20"/>
      <c r="J188" s="20"/>
      <c r="K188" s="21"/>
    </row>
    <row r="189" spans="1:12" x14ac:dyDescent="0.3">
      <c r="A189" s="17" t="s">
        <v>303</v>
      </c>
      <c r="B189" s="18"/>
      <c r="C189" s="3" t="s">
        <v>304</v>
      </c>
      <c r="D189" s="4" t="s">
        <v>11</v>
      </c>
      <c r="E189" s="5"/>
      <c r="F189" s="6"/>
      <c r="G189" s="6">
        <v>18320</v>
      </c>
      <c r="H189" s="19">
        <v>5040215</v>
      </c>
      <c r="I189" s="20"/>
      <c r="J189" s="20"/>
      <c r="K189" s="21"/>
    </row>
    <row r="190" spans="1:12" x14ac:dyDescent="0.3">
      <c r="A190" s="17" t="s">
        <v>303</v>
      </c>
      <c r="B190" s="18"/>
      <c r="C190" s="3" t="s">
        <v>305</v>
      </c>
      <c r="D190" s="4" t="s">
        <v>11</v>
      </c>
      <c r="E190" s="5"/>
      <c r="F190" s="6"/>
      <c r="G190" s="6">
        <v>111463</v>
      </c>
      <c r="H190" s="19">
        <v>5021895</v>
      </c>
      <c r="I190" s="20"/>
      <c r="J190" s="20"/>
      <c r="K190" s="21"/>
    </row>
    <row r="191" spans="1:12" x14ac:dyDescent="0.3">
      <c r="A191" s="17" t="s">
        <v>303</v>
      </c>
      <c r="B191" s="18"/>
      <c r="C191" s="3" t="s">
        <v>17</v>
      </c>
      <c r="D191" s="4" t="s">
        <v>18</v>
      </c>
      <c r="E191" s="5"/>
      <c r="F191" s="6"/>
      <c r="G191" s="6">
        <v>184171</v>
      </c>
      <c r="H191" s="19">
        <v>4910432</v>
      </c>
      <c r="I191" s="20"/>
      <c r="J191" s="20"/>
      <c r="K191" s="21"/>
    </row>
    <row r="192" spans="1:12" x14ac:dyDescent="0.3">
      <c r="A192" s="17" t="s">
        <v>303</v>
      </c>
      <c r="B192" s="18"/>
      <c r="C192" s="3" t="s">
        <v>16</v>
      </c>
      <c r="D192" s="4" t="s">
        <v>11</v>
      </c>
      <c r="E192" s="5"/>
      <c r="F192" s="6">
        <v>297500</v>
      </c>
      <c r="G192" s="6"/>
      <c r="H192" s="19">
        <v>4726261</v>
      </c>
      <c r="I192" s="20"/>
      <c r="J192" s="20"/>
      <c r="K192" s="21"/>
    </row>
    <row r="193" spans="1:11" x14ac:dyDescent="0.3">
      <c r="A193" s="17" t="s">
        <v>303</v>
      </c>
      <c r="B193" s="18"/>
      <c r="C193" s="3" t="s">
        <v>257</v>
      </c>
      <c r="D193" s="4" t="s">
        <v>11</v>
      </c>
      <c r="E193" s="5"/>
      <c r="F193" s="6">
        <v>200000</v>
      </c>
      <c r="G193" s="6"/>
      <c r="H193" s="19">
        <v>5023761</v>
      </c>
      <c r="I193" s="20"/>
      <c r="J193" s="20"/>
      <c r="K193" s="21"/>
    </row>
    <row r="194" spans="1:11" x14ac:dyDescent="0.3">
      <c r="A194" s="17" t="s">
        <v>303</v>
      </c>
      <c r="B194" s="18"/>
      <c r="C194" s="3" t="s">
        <v>306</v>
      </c>
      <c r="D194" s="4" t="s">
        <v>11</v>
      </c>
      <c r="E194" s="5"/>
      <c r="F194" s="6"/>
      <c r="G194" s="6">
        <v>426591</v>
      </c>
      <c r="H194" s="19">
        <v>5223761</v>
      </c>
      <c r="I194" s="20"/>
      <c r="J194" s="20"/>
      <c r="K194" s="21"/>
    </row>
    <row r="195" spans="1:11" x14ac:dyDescent="0.3">
      <c r="A195" s="17" t="s">
        <v>303</v>
      </c>
      <c r="B195" s="18"/>
      <c r="C195" s="3" t="s">
        <v>136</v>
      </c>
      <c r="D195" s="4" t="s">
        <v>18</v>
      </c>
      <c r="E195" s="5"/>
      <c r="F195" s="6"/>
      <c r="G195" s="6">
        <v>4583309</v>
      </c>
      <c r="H195" s="19">
        <v>4797170</v>
      </c>
      <c r="I195" s="20"/>
      <c r="J195" s="20"/>
      <c r="K195" s="21"/>
    </row>
    <row r="196" spans="1:11" x14ac:dyDescent="0.3">
      <c r="A196" s="17" t="s">
        <v>303</v>
      </c>
      <c r="B196" s="18"/>
      <c r="C196" s="3" t="s">
        <v>307</v>
      </c>
      <c r="D196" s="4" t="s">
        <v>11</v>
      </c>
      <c r="E196" s="5"/>
      <c r="F196" s="6"/>
      <c r="G196" s="6">
        <v>11741</v>
      </c>
      <c r="H196" s="19">
        <v>213861</v>
      </c>
      <c r="I196" s="20"/>
      <c r="J196" s="20"/>
      <c r="K196" s="21"/>
    </row>
    <row r="197" spans="1:11" x14ac:dyDescent="0.3">
      <c r="A197" s="17" t="s">
        <v>303</v>
      </c>
      <c r="B197" s="18"/>
      <c r="C197" s="3" t="s">
        <v>308</v>
      </c>
      <c r="D197" s="4" t="s">
        <v>11</v>
      </c>
      <c r="E197" s="5"/>
      <c r="F197" s="6"/>
      <c r="G197" s="6">
        <v>61837</v>
      </c>
      <c r="H197" s="19">
        <v>202120</v>
      </c>
      <c r="I197" s="20"/>
      <c r="J197" s="20"/>
      <c r="K197" s="21"/>
    </row>
    <row r="198" spans="1:11" x14ac:dyDescent="0.3">
      <c r="A198" s="17" t="s">
        <v>303</v>
      </c>
      <c r="B198" s="18"/>
      <c r="C198" s="3" t="s">
        <v>309</v>
      </c>
      <c r="D198" s="4" t="s">
        <v>11</v>
      </c>
      <c r="E198" s="5"/>
      <c r="F198" s="6"/>
      <c r="G198" s="6">
        <v>140283</v>
      </c>
      <c r="H198" s="19">
        <v>140283</v>
      </c>
      <c r="I198" s="20"/>
      <c r="J198" s="20"/>
      <c r="K198" s="21"/>
    </row>
    <row r="199" spans="1:11" x14ac:dyDescent="0.3">
      <c r="A199" s="17" t="s">
        <v>310</v>
      </c>
      <c r="B199" s="18"/>
      <c r="C199" s="3" t="s">
        <v>8</v>
      </c>
      <c r="D199" s="4" t="s">
        <v>9</v>
      </c>
      <c r="E199" s="5"/>
      <c r="F199" s="6"/>
      <c r="G199" s="6">
        <v>990661</v>
      </c>
      <c r="H199" s="19">
        <v>0</v>
      </c>
      <c r="I199" s="20"/>
      <c r="J199" s="20"/>
      <c r="K199" s="21"/>
    </row>
    <row r="200" spans="1:11" x14ac:dyDescent="0.3">
      <c r="A200" s="17" t="s">
        <v>310</v>
      </c>
      <c r="B200" s="18"/>
      <c r="C200" s="3" t="s">
        <v>311</v>
      </c>
      <c r="D200" s="4" t="s">
        <v>11</v>
      </c>
      <c r="E200" s="5"/>
      <c r="F200" s="6"/>
      <c r="G200" s="6">
        <v>71599</v>
      </c>
      <c r="H200" s="19">
        <v>-990661</v>
      </c>
      <c r="I200" s="20"/>
      <c r="J200" s="20"/>
      <c r="K200" s="21"/>
    </row>
    <row r="201" spans="1:11" x14ac:dyDescent="0.3">
      <c r="A201" s="17" t="s">
        <v>310</v>
      </c>
      <c r="B201" s="18"/>
      <c r="C201" s="3" t="s">
        <v>10</v>
      </c>
      <c r="D201" s="4" t="s">
        <v>11</v>
      </c>
      <c r="E201" s="5"/>
      <c r="F201" s="6"/>
      <c r="G201" s="6">
        <v>38861</v>
      </c>
      <c r="H201" s="19">
        <v>-1062260</v>
      </c>
      <c r="I201" s="20"/>
      <c r="J201" s="20"/>
      <c r="K201" s="21"/>
    </row>
    <row r="202" spans="1:11" x14ac:dyDescent="0.3">
      <c r="A202" s="17" t="s">
        <v>310</v>
      </c>
      <c r="B202" s="18"/>
      <c r="C202" s="3" t="s">
        <v>312</v>
      </c>
      <c r="D202" s="4" t="s">
        <v>11</v>
      </c>
      <c r="E202" s="5"/>
      <c r="F202" s="6"/>
      <c r="G202" s="6">
        <v>23382</v>
      </c>
      <c r="H202" s="19">
        <v>-1101121</v>
      </c>
      <c r="I202" s="20"/>
      <c r="J202" s="20"/>
      <c r="K202" s="21"/>
    </row>
    <row r="203" spans="1:11" x14ac:dyDescent="0.3">
      <c r="A203" s="17" t="s">
        <v>310</v>
      </c>
      <c r="B203" s="18"/>
      <c r="C203" s="3" t="s">
        <v>313</v>
      </c>
      <c r="D203" s="4" t="s">
        <v>18</v>
      </c>
      <c r="E203" s="5"/>
      <c r="F203" s="6">
        <v>14096092</v>
      </c>
      <c r="G203" s="6"/>
      <c r="H203" s="19">
        <v>-1124503</v>
      </c>
      <c r="I203" s="20"/>
      <c r="J203" s="20"/>
      <c r="K203" s="21"/>
    </row>
    <row r="204" spans="1:11" x14ac:dyDescent="0.3">
      <c r="A204" s="17" t="s">
        <v>310</v>
      </c>
      <c r="B204" s="18"/>
      <c r="C204" s="3" t="s">
        <v>19</v>
      </c>
      <c r="D204" s="4" t="s">
        <v>18</v>
      </c>
      <c r="E204" s="5"/>
      <c r="F204" s="6">
        <v>1048354</v>
      </c>
      <c r="G204" s="6"/>
      <c r="H204" s="19">
        <v>12971589</v>
      </c>
      <c r="I204" s="20"/>
      <c r="J204" s="20"/>
      <c r="K204" s="21"/>
    </row>
    <row r="205" spans="1:11" x14ac:dyDescent="0.3">
      <c r="A205" s="17" t="s">
        <v>310</v>
      </c>
      <c r="B205" s="18"/>
      <c r="C205" s="3" t="s">
        <v>27</v>
      </c>
      <c r="D205" s="4" t="s">
        <v>18</v>
      </c>
      <c r="E205" s="5"/>
      <c r="F205" s="6">
        <v>407500</v>
      </c>
      <c r="G205" s="6"/>
      <c r="H205" s="19">
        <v>14019943</v>
      </c>
      <c r="I205" s="20"/>
      <c r="J205" s="20"/>
      <c r="K205" s="21"/>
    </row>
    <row r="206" spans="1:11" x14ac:dyDescent="0.3">
      <c r="A206" s="17" t="s">
        <v>310</v>
      </c>
      <c r="B206" s="18"/>
      <c r="C206" s="3" t="s">
        <v>50</v>
      </c>
      <c r="D206" s="4" t="s">
        <v>11</v>
      </c>
      <c r="E206" s="5"/>
      <c r="F206" s="6"/>
      <c r="G206" s="6">
        <v>1500000</v>
      </c>
      <c r="H206" s="19">
        <v>14427443</v>
      </c>
      <c r="I206" s="20"/>
      <c r="J206" s="20"/>
      <c r="K206" s="21"/>
    </row>
    <row r="207" spans="1:11" x14ac:dyDescent="0.3">
      <c r="A207" s="17" t="s">
        <v>310</v>
      </c>
      <c r="B207" s="18"/>
      <c r="C207" s="3" t="s">
        <v>17</v>
      </c>
      <c r="D207" s="4" t="s">
        <v>18</v>
      </c>
      <c r="E207" s="5"/>
      <c r="F207" s="6"/>
      <c r="G207" s="6">
        <v>173607</v>
      </c>
      <c r="H207" s="19">
        <v>12927443</v>
      </c>
      <c r="I207" s="20"/>
      <c r="J207" s="20"/>
      <c r="K207" s="21"/>
    </row>
    <row r="208" spans="1:11" x14ac:dyDescent="0.3">
      <c r="A208" s="17" t="s">
        <v>310</v>
      </c>
      <c r="B208" s="18"/>
      <c r="C208" s="3" t="s">
        <v>295</v>
      </c>
      <c r="D208" s="4" t="s">
        <v>11</v>
      </c>
      <c r="E208" s="5"/>
      <c r="F208" s="6"/>
      <c r="G208" s="6">
        <v>57290</v>
      </c>
      <c r="H208" s="19">
        <v>12753836</v>
      </c>
      <c r="I208" s="20"/>
      <c r="J208" s="20"/>
      <c r="K208" s="21"/>
    </row>
    <row r="209" spans="1:11" x14ac:dyDescent="0.3">
      <c r="A209" s="17" t="s">
        <v>310</v>
      </c>
      <c r="B209" s="18"/>
      <c r="C209" s="3" t="s">
        <v>51</v>
      </c>
      <c r="D209" s="4" t="s">
        <v>11</v>
      </c>
      <c r="E209" s="5"/>
      <c r="F209" s="6"/>
      <c r="G209" s="6">
        <v>500000</v>
      </c>
      <c r="H209" s="19">
        <v>12696546</v>
      </c>
      <c r="I209" s="20"/>
      <c r="J209" s="20"/>
      <c r="K209" s="21"/>
    </row>
    <row r="210" spans="1:11" x14ac:dyDescent="0.3">
      <c r="A210" s="17" t="s">
        <v>310</v>
      </c>
      <c r="B210" s="18"/>
      <c r="C210" s="3" t="s">
        <v>50</v>
      </c>
      <c r="D210" s="4" t="s">
        <v>11</v>
      </c>
      <c r="E210" s="5"/>
      <c r="F210" s="6"/>
      <c r="G210" s="6">
        <v>5500000</v>
      </c>
      <c r="H210" s="19">
        <v>12196546</v>
      </c>
      <c r="I210" s="20"/>
      <c r="J210" s="20"/>
      <c r="K210" s="21"/>
    </row>
    <row r="211" spans="1:11" x14ac:dyDescent="0.3">
      <c r="A211" s="17" t="s">
        <v>314</v>
      </c>
      <c r="B211" s="18"/>
      <c r="C211" s="3" t="s">
        <v>224</v>
      </c>
      <c r="D211" s="4" t="s">
        <v>11</v>
      </c>
      <c r="E211" s="5"/>
      <c r="F211" s="6"/>
      <c r="G211" s="6">
        <v>16580</v>
      </c>
      <c r="H211" s="19">
        <v>6696546</v>
      </c>
      <c r="I211" s="20"/>
      <c r="J211" s="20"/>
      <c r="K211" s="21"/>
    </row>
    <row r="212" spans="1:11" x14ac:dyDescent="0.3">
      <c r="A212" s="17" t="s">
        <v>314</v>
      </c>
      <c r="B212" s="18"/>
      <c r="C212" s="3" t="s">
        <v>271</v>
      </c>
      <c r="D212" s="4" t="s">
        <v>11</v>
      </c>
      <c r="E212" s="5"/>
      <c r="F212" s="6"/>
      <c r="G212" s="6">
        <v>87793</v>
      </c>
      <c r="H212" s="19">
        <v>6679966</v>
      </c>
      <c r="I212" s="20"/>
      <c r="J212" s="20"/>
      <c r="K212" s="21"/>
    </row>
    <row r="213" spans="1:11" x14ac:dyDescent="0.3">
      <c r="A213" s="17" t="s">
        <v>314</v>
      </c>
      <c r="B213" s="18"/>
      <c r="C213" s="3" t="s">
        <v>29</v>
      </c>
      <c r="D213" s="4" t="s">
        <v>11</v>
      </c>
      <c r="E213" s="5"/>
      <c r="F213" s="6"/>
      <c r="G213" s="6">
        <v>342649</v>
      </c>
      <c r="H213" s="19">
        <v>6592173</v>
      </c>
      <c r="I213" s="20"/>
      <c r="J213" s="20"/>
      <c r="K213" s="21"/>
    </row>
    <row r="214" spans="1:11" x14ac:dyDescent="0.3">
      <c r="A214" s="17" t="s">
        <v>314</v>
      </c>
      <c r="B214" s="18"/>
      <c r="C214" s="3" t="s">
        <v>315</v>
      </c>
      <c r="D214" s="4" t="s">
        <v>11</v>
      </c>
      <c r="E214" s="5"/>
      <c r="F214" s="6"/>
      <c r="G214" s="6">
        <v>39145</v>
      </c>
      <c r="H214" s="19">
        <v>6249524</v>
      </c>
      <c r="I214" s="20"/>
      <c r="J214" s="20"/>
      <c r="K214" s="21"/>
    </row>
    <row r="215" spans="1:11" x14ac:dyDescent="0.3">
      <c r="A215" s="17" t="s">
        <v>314</v>
      </c>
      <c r="B215" s="18"/>
      <c r="C215" s="3" t="s">
        <v>316</v>
      </c>
      <c r="D215" s="4" t="s">
        <v>11</v>
      </c>
      <c r="E215" s="5"/>
      <c r="F215" s="6"/>
      <c r="G215" s="6">
        <v>26739</v>
      </c>
      <c r="H215" s="19">
        <v>6210379</v>
      </c>
      <c r="I215" s="20"/>
      <c r="J215" s="20"/>
      <c r="K215" s="21"/>
    </row>
    <row r="216" spans="1:11" x14ac:dyDescent="0.3">
      <c r="A216" s="17" t="s">
        <v>314</v>
      </c>
      <c r="B216" s="18"/>
      <c r="C216" s="3" t="s">
        <v>270</v>
      </c>
      <c r="D216" s="4" t="s">
        <v>18</v>
      </c>
      <c r="E216" s="5"/>
      <c r="F216" s="6"/>
      <c r="G216" s="6">
        <v>28385</v>
      </c>
      <c r="H216" s="19">
        <v>6183640</v>
      </c>
      <c r="I216" s="20"/>
      <c r="J216" s="20"/>
      <c r="K216" s="21"/>
    </row>
    <row r="217" spans="1:11" x14ac:dyDescent="0.3">
      <c r="A217" s="17" t="s">
        <v>314</v>
      </c>
      <c r="B217" s="18"/>
      <c r="C217" s="3" t="s">
        <v>317</v>
      </c>
      <c r="D217" s="4" t="s">
        <v>18</v>
      </c>
      <c r="E217" s="5"/>
      <c r="F217" s="6"/>
      <c r="G217" s="6">
        <v>60090</v>
      </c>
      <c r="H217" s="19">
        <v>6155255</v>
      </c>
      <c r="I217" s="20"/>
      <c r="J217" s="20"/>
      <c r="K217" s="21"/>
    </row>
    <row r="218" spans="1:11" x14ac:dyDescent="0.3">
      <c r="A218" s="17" t="s">
        <v>314</v>
      </c>
      <c r="B218" s="18"/>
      <c r="C218" s="3" t="s">
        <v>39</v>
      </c>
      <c r="D218" s="4" t="s">
        <v>11</v>
      </c>
      <c r="E218" s="5"/>
      <c r="F218" s="6"/>
      <c r="G218" s="6">
        <v>380000</v>
      </c>
      <c r="H218" s="19">
        <v>6095165</v>
      </c>
      <c r="I218" s="20"/>
      <c r="J218" s="20"/>
      <c r="K218" s="21"/>
    </row>
    <row r="219" spans="1:11" x14ac:dyDescent="0.3">
      <c r="A219" s="17" t="s">
        <v>314</v>
      </c>
      <c r="B219" s="18"/>
      <c r="C219" s="3" t="s">
        <v>84</v>
      </c>
      <c r="D219" s="4" t="s">
        <v>11</v>
      </c>
      <c r="E219" s="5"/>
      <c r="F219" s="6">
        <v>21000</v>
      </c>
      <c r="G219" s="6"/>
      <c r="H219" s="19">
        <v>5715165</v>
      </c>
      <c r="I219" s="20"/>
      <c r="J219" s="20"/>
      <c r="K219" s="21"/>
    </row>
    <row r="220" spans="1:11" x14ac:dyDescent="0.3">
      <c r="A220" s="17" t="s">
        <v>314</v>
      </c>
      <c r="B220" s="18"/>
      <c r="C220" s="3" t="s">
        <v>126</v>
      </c>
      <c r="D220" s="4" t="s">
        <v>11</v>
      </c>
      <c r="E220" s="5"/>
      <c r="F220" s="6">
        <v>70686</v>
      </c>
      <c r="G220" s="6"/>
      <c r="H220" s="19">
        <v>5736165</v>
      </c>
      <c r="I220" s="20"/>
      <c r="J220" s="20"/>
      <c r="K220" s="21"/>
    </row>
    <row r="221" spans="1:11" x14ac:dyDescent="0.3">
      <c r="A221" s="17" t="s">
        <v>318</v>
      </c>
      <c r="B221" s="18"/>
      <c r="C221" s="3" t="s">
        <v>319</v>
      </c>
      <c r="D221" s="4" t="s">
        <v>11</v>
      </c>
      <c r="E221" s="5"/>
      <c r="F221" s="6"/>
      <c r="G221" s="6">
        <v>159577</v>
      </c>
      <c r="H221" s="19">
        <v>5806851</v>
      </c>
      <c r="I221" s="20"/>
      <c r="J221" s="20"/>
      <c r="K221" s="21"/>
    </row>
    <row r="222" spans="1:11" x14ac:dyDescent="0.3">
      <c r="A222" s="17" t="s">
        <v>318</v>
      </c>
      <c r="B222" s="18"/>
      <c r="C222" s="3" t="s">
        <v>320</v>
      </c>
      <c r="D222" s="4" t="s">
        <v>11</v>
      </c>
      <c r="E222" s="5"/>
      <c r="F222" s="6"/>
      <c r="G222" s="6">
        <v>119700</v>
      </c>
      <c r="H222" s="19">
        <v>5647274</v>
      </c>
      <c r="I222" s="20"/>
      <c r="J222" s="20"/>
      <c r="K222" s="21"/>
    </row>
    <row r="223" spans="1:11" x14ac:dyDescent="0.3">
      <c r="A223" s="17" t="s">
        <v>318</v>
      </c>
      <c r="B223" s="18"/>
      <c r="C223" s="3" t="s">
        <v>17</v>
      </c>
      <c r="D223" s="4" t="s">
        <v>18</v>
      </c>
      <c r="E223" s="5"/>
      <c r="F223" s="6"/>
      <c r="G223" s="6">
        <v>150742</v>
      </c>
      <c r="H223" s="19">
        <v>5527574</v>
      </c>
      <c r="I223" s="20"/>
      <c r="J223" s="20"/>
      <c r="K223" s="21"/>
    </row>
    <row r="224" spans="1:11" x14ac:dyDescent="0.3">
      <c r="A224" s="17" t="s">
        <v>318</v>
      </c>
      <c r="B224" s="18"/>
      <c r="C224" s="3" t="s">
        <v>22</v>
      </c>
      <c r="D224" s="4" t="s">
        <v>18</v>
      </c>
      <c r="E224" s="5"/>
      <c r="F224" s="6">
        <v>8027</v>
      </c>
      <c r="G224" s="6"/>
      <c r="H224" s="19">
        <v>5376832</v>
      </c>
      <c r="I224" s="20"/>
      <c r="J224" s="20"/>
      <c r="K224" s="21"/>
    </row>
    <row r="225" spans="1:11" x14ac:dyDescent="0.3">
      <c r="A225" s="17" t="s">
        <v>318</v>
      </c>
      <c r="B225" s="18"/>
      <c r="C225" s="3" t="s">
        <v>234</v>
      </c>
      <c r="D225" s="4" t="s">
        <v>11</v>
      </c>
      <c r="E225" s="5"/>
      <c r="F225" s="6"/>
      <c r="G225" s="6">
        <v>43937</v>
      </c>
      <c r="H225" s="19">
        <v>5384859</v>
      </c>
      <c r="I225" s="20"/>
      <c r="J225" s="20"/>
      <c r="K225" s="21"/>
    </row>
    <row r="226" spans="1:11" x14ac:dyDescent="0.3">
      <c r="A226" s="17" t="s">
        <v>318</v>
      </c>
      <c r="B226" s="18"/>
      <c r="C226" s="3" t="s">
        <v>321</v>
      </c>
      <c r="D226" s="4" t="s">
        <v>11</v>
      </c>
      <c r="E226" s="5"/>
      <c r="F226" s="6"/>
      <c r="G226" s="6">
        <v>114220</v>
      </c>
      <c r="H226" s="19">
        <v>5340922</v>
      </c>
      <c r="I226" s="20"/>
      <c r="J226" s="20"/>
      <c r="K226" s="21"/>
    </row>
    <row r="227" spans="1:11" x14ac:dyDescent="0.3">
      <c r="A227" s="17" t="s">
        <v>318</v>
      </c>
      <c r="B227" s="18"/>
      <c r="C227" s="3" t="s">
        <v>144</v>
      </c>
      <c r="D227" s="4" t="s">
        <v>11</v>
      </c>
      <c r="E227" s="5"/>
      <c r="F227" s="6"/>
      <c r="G227" s="6">
        <v>98329</v>
      </c>
      <c r="H227" s="19">
        <v>5226702</v>
      </c>
      <c r="I227" s="20"/>
      <c r="J227" s="20"/>
      <c r="K227" s="21"/>
    </row>
    <row r="228" spans="1:11" x14ac:dyDescent="0.3">
      <c r="A228" s="17" t="s">
        <v>322</v>
      </c>
      <c r="B228" s="18"/>
      <c r="C228" s="3" t="s">
        <v>17</v>
      </c>
      <c r="D228" s="4" t="s">
        <v>18</v>
      </c>
      <c r="E228" s="5"/>
      <c r="F228" s="6"/>
      <c r="G228" s="6">
        <v>268043</v>
      </c>
      <c r="H228" s="19">
        <v>5128373</v>
      </c>
      <c r="I228" s="20"/>
      <c r="J228" s="20"/>
      <c r="K228" s="21"/>
    </row>
    <row r="229" spans="1:11" x14ac:dyDescent="0.3">
      <c r="A229" s="17" t="s">
        <v>322</v>
      </c>
      <c r="B229" s="18"/>
      <c r="C229" s="3" t="s">
        <v>270</v>
      </c>
      <c r="D229" s="4" t="s">
        <v>18</v>
      </c>
      <c r="E229" s="5"/>
      <c r="F229" s="6"/>
      <c r="G229" s="6">
        <v>57960</v>
      </c>
      <c r="H229" s="19">
        <v>4860330</v>
      </c>
      <c r="I229" s="20"/>
      <c r="J229" s="20"/>
      <c r="K229" s="21"/>
    </row>
    <row r="230" spans="1:11" x14ac:dyDescent="0.3">
      <c r="A230" s="17" t="s">
        <v>322</v>
      </c>
      <c r="B230" s="18"/>
      <c r="C230" s="3" t="s">
        <v>270</v>
      </c>
      <c r="D230" s="4" t="s">
        <v>18</v>
      </c>
      <c r="E230" s="5"/>
      <c r="F230" s="6"/>
      <c r="G230" s="6">
        <v>52249</v>
      </c>
      <c r="H230" s="19">
        <v>4802370</v>
      </c>
      <c r="I230" s="20"/>
      <c r="J230" s="20"/>
      <c r="K230" s="21"/>
    </row>
    <row r="231" spans="1:11" x14ac:dyDescent="0.3">
      <c r="A231" s="17" t="s">
        <v>322</v>
      </c>
      <c r="B231" s="18"/>
      <c r="C231" s="3" t="s">
        <v>270</v>
      </c>
      <c r="D231" s="4" t="s">
        <v>18</v>
      </c>
      <c r="E231" s="5"/>
      <c r="F231" s="6"/>
      <c r="G231" s="6">
        <v>70770</v>
      </c>
      <c r="H231" s="19">
        <v>4750121</v>
      </c>
      <c r="I231" s="20"/>
      <c r="J231" s="20"/>
      <c r="K231" s="21"/>
    </row>
    <row r="232" spans="1:11" x14ac:dyDescent="0.3">
      <c r="A232" s="17" t="s">
        <v>322</v>
      </c>
      <c r="B232" s="18"/>
      <c r="C232" s="3" t="s">
        <v>270</v>
      </c>
      <c r="D232" s="4" t="s">
        <v>18</v>
      </c>
      <c r="E232" s="5"/>
      <c r="F232" s="6"/>
      <c r="G232" s="6">
        <v>307020</v>
      </c>
      <c r="H232" s="19">
        <v>4679351</v>
      </c>
      <c r="I232" s="20"/>
      <c r="J232" s="20"/>
      <c r="K232" s="21"/>
    </row>
    <row r="233" spans="1:11" x14ac:dyDescent="0.3">
      <c r="A233" s="17" t="s">
        <v>322</v>
      </c>
      <c r="B233" s="18"/>
      <c r="C233" s="3" t="s">
        <v>270</v>
      </c>
      <c r="D233" s="4" t="s">
        <v>18</v>
      </c>
      <c r="E233" s="5"/>
      <c r="F233" s="6"/>
      <c r="G233" s="6">
        <v>77950</v>
      </c>
      <c r="H233" s="19">
        <v>4372331</v>
      </c>
      <c r="I233" s="20"/>
      <c r="J233" s="20"/>
      <c r="K233" s="21"/>
    </row>
    <row r="234" spans="1:11" x14ac:dyDescent="0.3">
      <c r="A234" s="17" t="s">
        <v>322</v>
      </c>
      <c r="B234" s="18"/>
      <c r="C234" s="3" t="s">
        <v>76</v>
      </c>
      <c r="D234" s="4" t="s">
        <v>18</v>
      </c>
      <c r="E234" s="5"/>
      <c r="F234" s="6"/>
      <c r="G234" s="6">
        <v>151521</v>
      </c>
      <c r="H234" s="19">
        <v>4294381</v>
      </c>
      <c r="I234" s="20"/>
      <c r="J234" s="20"/>
      <c r="K234" s="21"/>
    </row>
    <row r="235" spans="1:11" x14ac:dyDescent="0.3">
      <c r="A235" s="17" t="s">
        <v>322</v>
      </c>
      <c r="B235" s="18"/>
      <c r="C235" s="3" t="s">
        <v>128</v>
      </c>
      <c r="D235" s="4" t="s">
        <v>11</v>
      </c>
      <c r="E235" s="5"/>
      <c r="F235" s="6"/>
      <c r="G235" s="6">
        <v>82963</v>
      </c>
      <c r="H235" s="19">
        <v>4142860</v>
      </c>
      <c r="I235" s="20"/>
      <c r="J235" s="20"/>
      <c r="K235" s="21"/>
    </row>
    <row r="236" spans="1:11" x14ac:dyDescent="0.3">
      <c r="A236" s="17" t="s">
        <v>322</v>
      </c>
      <c r="B236" s="18"/>
      <c r="C236" s="3" t="s">
        <v>323</v>
      </c>
      <c r="D236" s="4" t="s">
        <v>11</v>
      </c>
      <c r="E236" s="5"/>
      <c r="F236" s="6"/>
      <c r="G236" s="6">
        <v>23180</v>
      </c>
      <c r="H236" s="19">
        <v>4059897</v>
      </c>
      <c r="I236" s="20"/>
      <c r="J236" s="20"/>
      <c r="K236" s="21"/>
    </row>
    <row r="237" spans="1:11" x14ac:dyDescent="0.3">
      <c r="A237" s="17" t="s">
        <v>322</v>
      </c>
      <c r="B237" s="18"/>
      <c r="C237" s="3" t="s">
        <v>324</v>
      </c>
      <c r="D237" s="4" t="s">
        <v>11</v>
      </c>
      <c r="E237" s="5"/>
      <c r="F237" s="6"/>
      <c r="G237" s="6">
        <v>227247</v>
      </c>
      <c r="H237" s="19">
        <v>4036717</v>
      </c>
      <c r="I237" s="20"/>
      <c r="J237" s="20"/>
      <c r="K237" s="21"/>
    </row>
    <row r="238" spans="1:11" x14ac:dyDescent="0.3">
      <c r="A238" s="17" t="s">
        <v>322</v>
      </c>
      <c r="B238" s="18"/>
      <c r="C238" s="3" t="s">
        <v>325</v>
      </c>
      <c r="D238" s="4" t="s">
        <v>11</v>
      </c>
      <c r="E238" s="5"/>
      <c r="F238" s="6"/>
      <c r="G238" s="6">
        <v>109794</v>
      </c>
      <c r="H238" s="19">
        <v>3809470</v>
      </c>
      <c r="I238" s="20"/>
      <c r="J238" s="20"/>
      <c r="K238" s="21"/>
    </row>
    <row r="239" spans="1:11" x14ac:dyDescent="0.3">
      <c r="A239" s="17" t="s">
        <v>326</v>
      </c>
      <c r="B239" s="18"/>
      <c r="C239" s="3" t="s">
        <v>59</v>
      </c>
      <c r="D239" s="4" t="s">
        <v>9</v>
      </c>
      <c r="E239" s="5"/>
      <c r="F239" s="6">
        <v>1499083</v>
      </c>
      <c r="G239" s="6"/>
      <c r="H239" s="19">
        <v>3699676</v>
      </c>
      <c r="I239" s="20"/>
      <c r="J239" s="20"/>
      <c r="K239" s="21"/>
    </row>
    <row r="240" spans="1:11" x14ac:dyDescent="0.3">
      <c r="A240" s="17" t="s">
        <v>326</v>
      </c>
      <c r="B240" s="18"/>
      <c r="C240" s="3" t="s">
        <v>86</v>
      </c>
      <c r="D240" s="4" t="s">
        <v>18</v>
      </c>
      <c r="E240" s="5"/>
      <c r="F240" s="6">
        <v>15420</v>
      </c>
      <c r="G240" s="6"/>
      <c r="H240" s="19">
        <v>5198759</v>
      </c>
      <c r="I240" s="20"/>
      <c r="J240" s="20"/>
      <c r="K240" s="21"/>
    </row>
    <row r="241" spans="1:11" x14ac:dyDescent="0.3">
      <c r="A241" s="17" t="s">
        <v>326</v>
      </c>
      <c r="B241" s="18"/>
      <c r="C241" s="3" t="s">
        <v>67</v>
      </c>
      <c r="D241" s="4" t="s">
        <v>11</v>
      </c>
      <c r="E241" s="5"/>
      <c r="F241" s="6"/>
      <c r="G241" s="6">
        <v>93975</v>
      </c>
      <c r="H241" s="19">
        <v>5214179</v>
      </c>
      <c r="I241" s="20"/>
      <c r="J241" s="20"/>
      <c r="K241" s="21"/>
    </row>
    <row r="242" spans="1:11" x14ac:dyDescent="0.3">
      <c r="A242" s="17" t="s">
        <v>326</v>
      </c>
      <c r="B242" s="18"/>
      <c r="C242" s="3" t="s">
        <v>327</v>
      </c>
      <c r="D242" s="4" t="s">
        <v>11</v>
      </c>
      <c r="E242" s="5"/>
      <c r="F242" s="6">
        <v>28480</v>
      </c>
      <c r="G242" s="6"/>
      <c r="H242" s="19">
        <v>5120204</v>
      </c>
      <c r="I242" s="20"/>
      <c r="J242" s="20"/>
      <c r="K242" s="21"/>
    </row>
    <row r="243" spans="1:11" x14ac:dyDescent="0.3">
      <c r="A243" s="17" t="s">
        <v>326</v>
      </c>
      <c r="B243" s="18"/>
      <c r="C243" s="3" t="s">
        <v>17</v>
      </c>
      <c r="D243" s="4" t="s">
        <v>18</v>
      </c>
      <c r="E243" s="5"/>
      <c r="F243" s="6"/>
      <c r="G243" s="6">
        <v>156961</v>
      </c>
      <c r="H243" s="19">
        <v>5148684</v>
      </c>
      <c r="I243" s="20"/>
      <c r="J243" s="20"/>
      <c r="K243" s="21"/>
    </row>
    <row r="244" spans="1:11" x14ac:dyDescent="0.3">
      <c r="A244" s="17" t="s">
        <v>326</v>
      </c>
      <c r="B244" s="18"/>
      <c r="C244" s="3" t="s">
        <v>328</v>
      </c>
      <c r="D244" s="4" t="s">
        <v>11</v>
      </c>
      <c r="E244" s="5"/>
      <c r="F244" s="6"/>
      <c r="G244" s="6">
        <v>95200</v>
      </c>
      <c r="H244" s="19">
        <v>4991723</v>
      </c>
      <c r="I244" s="20"/>
      <c r="J244" s="20"/>
      <c r="K244" s="21"/>
    </row>
    <row r="245" spans="1:11" x14ac:dyDescent="0.3">
      <c r="A245" s="17" t="s">
        <v>326</v>
      </c>
      <c r="B245" s="18"/>
      <c r="C245" s="3" t="s">
        <v>329</v>
      </c>
      <c r="D245" s="4" t="s">
        <v>11</v>
      </c>
      <c r="E245" s="5"/>
      <c r="F245" s="6"/>
      <c r="G245" s="6">
        <v>65802</v>
      </c>
      <c r="H245" s="19">
        <v>4896523</v>
      </c>
      <c r="I245" s="20"/>
      <c r="J245" s="20"/>
      <c r="K245" s="21"/>
    </row>
    <row r="246" spans="1:11" x14ac:dyDescent="0.3">
      <c r="A246" s="17" t="s">
        <v>326</v>
      </c>
      <c r="B246" s="18"/>
      <c r="C246" s="3" t="s">
        <v>30</v>
      </c>
      <c r="D246" s="4" t="s">
        <v>11</v>
      </c>
      <c r="E246" s="5"/>
      <c r="F246" s="6"/>
      <c r="G246" s="6">
        <v>467354</v>
      </c>
      <c r="H246" s="19">
        <v>4830721</v>
      </c>
      <c r="I246" s="20"/>
      <c r="J246" s="20"/>
      <c r="K246" s="21"/>
    </row>
    <row r="247" spans="1:11" x14ac:dyDescent="0.3">
      <c r="A247" s="17" t="s">
        <v>326</v>
      </c>
      <c r="B247" s="18"/>
      <c r="C247" s="3" t="s">
        <v>330</v>
      </c>
      <c r="D247" s="4" t="s">
        <v>11</v>
      </c>
      <c r="E247" s="5"/>
      <c r="F247" s="6"/>
      <c r="G247" s="6">
        <v>51780</v>
      </c>
      <c r="H247" s="19">
        <v>4363367</v>
      </c>
      <c r="I247" s="20"/>
      <c r="J247" s="20"/>
      <c r="K247" s="21"/>
    </row>
    <row r="248" spans="1:11" x14ac:dyDescent="0.3">
      <c r="A248" s="17" t="s">
        <v>326</v>
      </c>
      <c r="B248" s="18"/>
      <c r="C248" s="3" t="s">
        <v>331</v>
      </c>
      <c r="D248" s="4" t="s">
        <v>11</v>
      </c>
      <c r="E248" s="5"/>
      <c r="F248" s="6"/>
      <c r="G248" s="6">
        <v>23980</v>
      </c>
      <c r="H248" s="19">
        <v>4311587</v>
      </c>
      <c r="I248" s="20"/>
      <c r="J248" s="20"/>
      <c r="K248" s="21"/>
    </row>
    <row r="249" spans="1:11" x14ac:dyDescent="0.3">
      <c r="A249" s="17" t="s">
        <v>332</v>
      </c>
      <c r="B249" s="18"/>
      <c r="C249" s="3" t="s">
        <v>45</v>
      </c>
      <c r="D249" s="4" t="s">
        <v>18</v>
      </c>
      <c r="E249" s="5"/>
      <c r="F249" s="6"/>
      <c r="G249" s="6">
        <v>14290</v>
      </c>
      <c r="H249" s="19">
        <v>4287607</v>
      </c>
      <c r="I249" s="20"/>
      <c r="J249" s="20"/>
      <c r="K249" s="21"/>
    </row>
    <row r="250" spans="1:11" x14ac:dyDescent="0.3">
      <c r="A250" s="17" t="s">
        <v>332</v>
      </c>
      <c r="B250" s="18"/>
      <c r="C250" s="3" t="s">
        <v>45</v>
      </c>
      <c r="D250" s="4" t="s">
        <v>18</v>
      </c>
      <c r="E250" s="5"/>
      <c r="F250" s="6"/>
      <c r="G250" s="6">
        <v>80206</v>
      </c>
      <c r="H250" s="19">
        <v>4273317</v>
      </c>
      <c r="I250" s="20"/>
      <c r="J250" s="20"/>
      <c r="K250" s="21"/>
    </row>
    <row r="251" spans="1:11" x14ac:dyDescent="0.3">
      <c r="A251" s="17" t="s">
        <v>332</v>
      </c>
      <c r="B251" s="18"/>
      <c r="C251" s="3" t="s">
        <v>333</v>
      </c>
      <c r="D251" s="4" t="s">
        <v>11</v>
      </c>
      <c r="E251" s="5"/>
      <c r="F251" s="6"/>
      <c r="G251" s="6">
        <v>70146</v>
      </c>
      <c r="H251" s="19">
        <v>4193111</v>
      </c>
      <c r="I251" s="20"/>
      <c r="J251" s="20"/>
      <c r="K251" s="21"/>
    </row>
    <row r="252" spans="1:11" x14ac:dyDescent="0.3">
      <c r="A252" s="17" t="s">
        <v>332</v>
      </c>
      <c r="B252" s="18"/>
      <c r="C252" s="3" t="s">
        <v>334</v>
      </c>
      <c r="D252" s="4" t="s">
        <v>11</v>
      </c>
      <c r="E252" s="5"/>
      <c r="F252" s="6"/>
      <c r="G252" s="6">
        <v>27372</v>
      </c>
      <c r="H252" s="19">
        <v>4122965</v>
      </c>
      <c r="I252" s="20"/>
      <c r="J252" s="20"/>
      <c r="K252" s="21"/>
    </row>
    <row r="253" spans="1:11" x14ac:dyDescent="0.3">
      <c r="A253" s="17" t="s">
        <v>332</v>
      </c>
      <c r="B253" s="18"/>
      <c r="C253" s="3" t="s">
        <v>145</v>
      </c>
      <c r="D253" s="4" t="s">
        <v>11</v>
      </c>
      <c r="E253" s="5"/>
      <c r="F253" s="6"/>
      <c r="G253" s="6">
        <v>153196</v>
      </c>
      <c r="H253" s="19">
        <v>4095593</v>
      </c>
      <c r="I253" s="20"/>
      <c r="J253" s="20"/>
      <c r="K253" s="21"/>
    </row>
    <row r="254" spans="1:11" x14ac:dyDescent="0.3">
      <c r="A254" s="17" t="s">
        <v>332</v>
      </c>
      <c r="B254" s="18"/>
      <c r="C254" s="3" t="s">
        <v>17</v>
      </c>
      <c r="D254" s="4" t="s">
        <v>18</v>
      </c>
      <c r="E254" s="5"/>
      <c r="F254" s="6"/>
      <c r="G254" s="6">
        <v>121280</v>
      </c>
      <c r="H254" s="19">
        <v>3942397</v>
      </c>
      <c r="I254" s="20"/>
      <c r="J254" s="20"/>
      <c r="K254" s="21"/>
    </row>
    <row r="255" spans="1:11" x14ac:dyDescent="0.3">
      <c r="A255" s="17" t="s">
        <v>332</v>
      </c>
      <c r="B255" s="18"/>
      <c r="C255" s="3" t="s">
        <v>335</v>
      </c>
      <c r="D255" s="4" t="s">
        <v>11</v>
      </c>
      <c r="E255" s="5"/>
      <c r="F255" s="6"/>
      <c r="G255" s="6">
        <v>85980</v>
      </c>
      <c r="H255" s="19">
        <v>3821117</v>
      </c>
      <c r="I255" s="20"/>
      <c r="J255" s="20"/>
      <c r="K255" s="21"/>
    </row>
    <row r="256" spans="1:11" x14ac:dyDescent="0.3">
      <c r="A256" s="17" t="s">
        <v>332</v>
      </c>
      <c r="B256" s="18"/>
      <c r="C256" s="3" t="s">
        <v>300</v>
      </c>
      <c r="D256" s="4" t="s">
        <v>11</v>
      </c>
      <c r="E256" s="5"/>
      <c r="F256" s="6">
        <v>9000</v>
      </c>
      <c r="G256" s="6"/>
      <c r="H256" s="19">
        <v>3735137</v>
      </c>
      <c r="I256" s="20"/>
      <c r="J256" s="20"/>
      <c r="K256" s="21"/>
    </row>
    <row r="257" spans="1:11" x14ac:dyDescent="0.3">
      <c r="A257" s="17" t="s">
        <v>332</v>
      </c>
      <c r="B257" s="18"/>
      <c r="C257" s="3" t="s">
        <v>336</v>
      </c>
      <c r="D257" s="4" t="s">
        <v>11</v>
      </c>
      <c r="E257" s="5"/>
      <c r="F257" s="6"/>
      <c r="G257" s="6">
        <v>29550</v>
      </c>
      <c r="H257" s="19">
        <v>3744137</v>
      </c>
      <c r="I257" s="20"/>
      <c r="J257" s="20"/>
      <c r="K257" s="21"/>
    </row>
    <row r="258" spans="1:11" x14ac:dyDescent="0.3">
      <c r="A258" s="17" t="s">
        <v>332</v>
      </c>
      <c r="B258" s="18"/>
      <c r="C258" s="3" t="s">
        <v>271</v>
      </c>
      <c r="D258" s="4" t="s">
        <v>11</v>
      </c>
      <c r="E258" s="5"/>
      <c r="F258" s="6"/>
      <c r="G258" s="6">
        <v>119938</v>
      </c>
      <c r="H258" s="19">
        <v>3714587</v>
      </c>
      <c r="I258" s="20"/>
      <c r="J258" s="20"/>
      <c r="K258" s="21"/>
    </row>
    <row r="259" spans="1:11" x14ac:dyDescent="0.3">
      <c r="A259" s="17" t="s">
        <v>281</v>
      </c>
      <c r="B259" s="18"/>
      <c r="C259" s="3" t="s">
        <v>41</v>
      </c>
      <c r="D259" s="4" t="s">
        <v>301</v>
      </c>
      <c r="E259" s="5" t="s">
        <v>302</v>
      </c>
      <c r="F259" s="6"/>
      <c r="G259" s="6">
        <v>521220</v>
      </c>
      <c r="H259" s="19">
        <v>3594649</v>
      </c>
      <c r="I259" s="20"/>
      <c r="J259" s="20"/>
      <c r="K259" s="21"/>
    </row>
    <row r="260" spans="1:11" x14ac:dyDescent="0.3">
      <c r="A260" s="17" t="s">
        <v>281</v>
      </c>
      <c r="B260" s="18"/>
      <c r="C260" s="3" t="s">
        <v>17</v>
      </c>
      <c r="D260" s="4" t="s">
        <v>18</v>
      </c>
      <c r="E260" s="5"/>
      <c r="F260" s="6"/>
      <c r="G260" s="6">
        <v>83950</v>
      </c>
      <c r="H260" s="19">
        <v>3073429</v>
      </c>
      <c r="I260" s="20"/>
      <c r="J260" s="20"/>
      <c r="K260" s="21"/>
    </row>
    <row r="261" spans="1:11" x14ac:dyDescent="0.3">
      <c r="A261" s="17" t="s">
        <v>281</v>
      </c>
      <c r="B261" s="18"/>
      <c r="C261" s="3" t="s">
        <v>282</v>
      </c>
      <c r="D261" s="4" t="s">
        <v>18</v>
      </c>
      <c r="E261" s="5"/>
      <c r="F261" s="6"/>
      <c r="G261" s="6">
        <v>19981</v>
      </c>
      <c r="H261" s="19">
        <v>2989479</v>
      </c>
      <c r="I261" s="20"/>
      <c r="J261" s="20"/>
      <c r="K261" s="21"/>
    </row>
    <row r="262" spans="1:11" x14ac:dyDescent="0.3">
      <c r="A262" s="17" t="s">
        <v>281</v>
      </c>
      <c r="B262" s="18"/>
      <c r="C262" s="3" t="s">
        <v>283</v>
      </c>
      <c r="D262" s="4" t="s">
        <v>11</v>
      </c>
      <c r="E262" s="5"/>
      <c r="F262" s="6"/>
      <c r="G262" s="6">
        <v>52536</v>
      </c>
      <c r="H262" s="19">
        <v>2969498</v>
      </c>
      <c r="I262" s="20"/>
      <c r="J262" s="20"/>
      <c r="K262" s="21"/>
    </row>
    <row r="263" spans="1:11" x14ac:dyDescent="0.3">
      <c r="A263" s="17" t="s">
        <v>281</v>
      </c>
      <c r="B263" s="18"/>
      <c r="C263" s="3" t="s">
        <v>284</v>
      </c>
      <c r="D263" s="4" t="s">
        <v>11</v>
      </c>
      <c r="E263" s="5"/>
      <c r="F263" s="6"/>
      <c r="G263" s="6">
        <v>210736</v>
      </c>
      <c r="H263" s="19">
        <v>2916962</v>
      </c>
      <c r="I263" s="20"/>
      <c r="J263" s="20"/>
      <c r="K263" s="21"/>
    </row>
    <row r="264" spans="1:11" x14ac:dyDescent="0.3">
      <c r="A264" s="17" t="s">
        <v>281</v>
      </c>
      <c r="B264" s="18"/>
      <c r="C264" s="3" t="s">
        <v>285</v>
      </c>
      <c r="D264" s="4" t="s">
        <v>11</v>
      </c>
      <c r="E264" s="5"/>
      <c r="F264" s="6"/>
      <c r="G264" s="6">
        <v>68819</v>
      </c>
      <c r="H264" s="19">
        <v>2706226</v>
      </c>
      <c r="I264" s="20"/>
      <c r="J264" s="20"/>
      <c r="K264" s="21"/>
    </row>
    <row r="265" spans="1:11" x14ac:dyDescent="0.3">
      <c r="A265" s="17" t="s">
        <v>281</v>
      </c>
      <c r="B265" s="18"/>
      <c r="C265" s="3" t="s">
        <v>286</v>
      </c>
      <c r="D265" s="4" t="s">
        <v>11</v>
      </c>
      <c r="E265" s="5"/>
      <c r="F265" s="6"/>
      <c r="G265" s="6">
        <v>60294</v>
      </c>
      <c r="H265" s="19">
        <v>2637407</v>
      </c>
      <c r="I265" s="20"/>
      <c r="J265" s="20"/>
      <c r="K265" s="21"/>
    </row>
    <row r="266" spans="1:11" x14ac:dyDescent="0.3">
      <c r="A266" s="17" t="s">
        <v>287</v>
      </c>
      <c r="B266" s="18"/>
      <c r="C266" s="3" t="s">
        <v>288</v>
      </c>
      <c r="D266" s="4" t="s">
        <v>11</v>
      </c>
      <c r="E266" s="5"/>
      <c r="F266" s="6"/>
      <c r="G266" s="6">
        <v>65527</v>
      </c>
      <c r="H266" s="19">
        <v>2577113</v>
      </c>
      <c r="I266" s="20"/>
      <c r="J266" s="20"/>
      <c r="K266" s="21"/>
    </row>
    <row r="267" spans="1:11" x14ac:dyDescent="0.3">
      <c r="A267" s="17" t="s">
        <v>287</v>
      </c>
      <c r="B267" s="18"/>
      <c r="C267" s="3" t="s">
        <v>289</v>
      </c>
      <c r="D267" s="4" t="s">
        <v>11</v>
      </c>
      <c r="E267" s="5"/>
      <c r="F267" s="6"/>
      <c r="G267" s="6">
        <v>398650</v>
      </c>
      <c r="H267" s="19">
        <v>2511586</v>
      </c>
      <c r="I267" s="20"/>
      <c r="J267" s="20"/>
      <c r="K267" s="21"/>
    </row>
    <row r="268" spans="1:11" x14ac:dyDescent="0.3">
      <c r="A268" s="17" t="s">
        <v>287</v>
      </c>
      <c r="B268" s="18"/>
      <c r="C268" s="3" t="s">
        <v>290</v>
      </c>
      <c r="D268" s="4" t="s">
        <v>11</v>
      </c>
      <c r="E268" s="5"/>
      <c r="F268" s="6"/>
      <c r="G268" s="6">
        <v>134840</v>
      </c>
      <c r="H268" s="19">
        <v>2112936</v>
      </c>
      <c r="I268" s="20"/>
      <c r="J268" s="20"/>
      <c r="K268" s="21"/>
    </row>
    <row r="269" spans="1:11" x14ac:dyDescent="0.3">
      <c r="A269" s="17" t="s">
        <v>287</v>
      </c>
      <c r="B269" s="18"/>
      <c r="C269" s="3" t="s">
        <v>67</v>
      </c>
      <c r="D269" s="4" t="s">
        <v>11</v>
      </c>
      <c r="E269" s="5"/>
      <c r="F269" s="6"/>
      <c r="G269" s="6">
        <v>48983</v>
      </c>
      <c r="H269" s="19">
        <v>1978096</v>
      </c>
      <c r="I269" s="20"/>
      <c r="J269" s="20"/>
      <c r="K269" s="21"/>
    </row>
    <row r="270" spans="1:11" x14ac:dyDescent="0.3">
      <c r="A270" s="17" t="s">
        <v>287</v>
      </c>
      <c r="B270" s="18"/>
      <c r="C270" s="3" t="s">
        <v>247</v>
      </c>
      <c r="D270" s="4" t="s">
        <v>11</v>
      </c>
      <c r="E270" s="5"/>
      <c r="F270" s="6"/>
      <c r="G270" s="6">
        <v>50521</v>
      </c>
      <c r="H270" s="19">
        <v>1929113</v>
      </c>
      <c r="I270" s="20"/>
      <c r="J270" s="20"/>
      <c r="K270" s="21"/>
    </row>
    <row r="271" spans="1:11" x14ac:dyDescent="0.3">
      <c r="A271" s="17" t="s">
        <v>287</v>
      </c>
      <c r="B271" s="18"/>
      <c r="C271" s="3" t="s">
        <v>17</v>
      </c>
      <c r="D271" s="4" t="s">
        <v>18</v>
      </c>
      <c r="E271" s="5"/>
      <c r="F271" s="6"/>
      <c r="G271" s="6">
        <v>274418</v>
      </c>
      <c r="H271" s="19">
        <v>1878592</v>
      </c>
      <c r="I271" s="20"/>
      <c r="J271" s="20"/>
      <c r="K271" s="21"/>
    </row>
    <row r="272" spans="1:11" x14ac:dyDescent="0.3">
      <c r="A272" s="17" t="s">
        <v>287</v>
      </c>
      <c r="B272" s="18"/>
      <c r="C272" s="3" t="s">
        <v>19</v>
      </c>
      <c r="D272" s="4" t="s">
        <v>18</v>
      </c>
      <c r="E272" s="5"/>
      <c r="F272" s="6">
        <v>4531905</v>
      </c>
      <c r="G272" s="6"/>
      <c r="H272" s="19">
        <v>1604174</v>
      </c>
      <c r="I272" s="20"/>
      <c r="J272" s="20"/>
      <c r="K272" s="21"/>
    </row>
    <row r="273" spans="1:11" x14ac:dyDescent="0.3">
      <c r="A273" s="17" t="s">
        <v>287</v>
      </c>
      <c r="B273" s="18"/>
      <c r="C273" s="3" t="s">
        <v>50</v>
      </c>
      <c r="D273" s="4" t="s">
        <v>11</v>
      </c>
      <c r="E273" s="5"/>
      <c r="F273" s="6"/>
      <c r="G273" s="6">
        <v>4000000</v>
      </c>
      <c r="H273" s="19">
        <v>6136079</v>
      </c>
      <c r="I273" s="20"/>
      <c r="J273" s="20"/>
      <c r="K273" s="21"/>
    </row>
    <row r="274" spans="1:11" x14ac:dyDescent="0.3">
      <c r="A274" s="17" t="s">
        <v>287</v>
      </c>
      <c r="B274" s="18"/>
      <c r="C274" s="3" t="s">
        <v>291</v>
      </c>
      <c r="D274" s="4" t="s">
        <v>11</v>
      </c>
      <c r="E274" s="5"/>
      <c r="F274" s="6"/>
      <c r="G274" s="6">
        <v>88693</v>
      </c>
      <c r="H274" s="19">
        <v>2136079</v>
      </c>
      <c r="I274" s="20"/>
      <c r="J274" s="20"/>
      <c r="K274" s="21"/>
    </row>
    <row r="275" spans="1:11" x14ac:dyDescent="0.3">
      <c r="A275" s="17" t="s">
        <v>287</v>
      </c>
      <c r="B275" s="18"/>
      <c r="C275" s="3" t="s">
        <v>292</v>
      </c>
      <c r="D275" s="4" t="s">
        <v>11</v>
      </c>
      <c r="E275" s="5"/>
      <c r="F275" s="6"/>
      <c r="G275" s="6">
        <v>151506</v>
      </c>
      <c r="H275" s="19">
        <v>2047386</v>
      </c>
      <c r="I275" s="20"/>
      <c r="J275" s="20"/>
      <c r="K275" s="21"/>
    </row>
    <row r="276" spans="1:11" x14ac:dyDescent="0.3">
      <c r="A276" s="17" t="s">
        <v>287</v>
      </c>
      <c r="B276" s="18"/>
      <c r="C276" s="3" t="s">
        <v>66</v>
      </c>
      <c r="D276" s="4" t="s">
        <v>11</v>
      </c>
      <c r="E276" s="5"/>
      <c r="F276" s="6"/>
      <c r="G276" s="6">
        <v>89250</v>
      </c>
      <c r="H276" s="19">
        <v>1895880</v>
      </c>
      <c r="I276" s="20"/>
      <c r="J276" s="20"/>
      <c r="K276" s="21"/>
    </row>
    <row r="277" spans="1:11" x14ac:dyDescent="0.3">
      <c r="A277" s="17" t="s">
        <v>293</v>
      </c>
      <c r="B277" s="18"/>
      <c r="C277" s="3" t="s">
        <v>294</v>
      </c>
      <c r="D277" s="4" t="s">
        <v>11</v>
      </c>
      <c r="E277" s="5"/>
      <c r="F277" s="6"/>
      <c r="G277" s="6">
        <v>37599</v>
      </c>
      <c r="H277" s="19">
        <v>1806630</v>
      </c>
      <c r="I277" s="20"/>
      <c r="J277" s="20"/>
      <c r="K277" s="21"/>
    </row>
    <row r="278" spans="1:11" x14ac:dyDescent="0.3">
      <c r="A278" s="17" t="s">
        <v>293</v>
      </c>
      <c r="B278" s="18"/>
      <c r="C278" s="3" t="s">
        <v>295</v>
      </c>
      <c r="D278" s="4" t="s">
        <v>11</v>
      </c>
      <c r="E278" s="5"/>
      <c r="F278" s="6"/>
      <c r="G278" s="6">
        <v>31310</v>
      </c>
      <c r="H278" s="19">
        <v>1769031</v>
      </c>
      <c r="I278" s="20"/>
      <c r="J278" s="20"/>
      <c r="K278" s="21"/>
    </row>
    <row r="279" spans="1:11" x14ac:dyDescent="0.3">
      <c r="A279" s="17" t="s">
        <v>293</v>
      </c>
      <c r="B279" s="18"/>
      <c r="C279" s="3" t="s">
        <v>17</v>
      </c>
      <c r="D279" s="4" t="s">
        <v>18</v>
      </c>
      <c r="E279" s="5"/>
      <c r="F279" s="6"/>
      <c r="G279" s="6">
        <v>115710</v>
      </c>
      <c r="H279" s="19">
        <v>1737721</v>
      </c>
      <c r="I279" s="20"/>
      <c r="J279" s="20"/>
      <c r="K279" s="21"/>
    </row>
    <row r="280" spans="1:11" x14ac:dyDescent="0.3">
      <c r="A280" s="17" t="s">
        <v>293</v>
      </c>
      <c r="B280" s="18"/>
      <c r="C280" s="3" t="s">
        <v>75</v>
      </c>
      <c r="D280" s="4" t="s">
        <v>18</v>
      </c>
      <c r="E280" s="5"/>
      <c r="F280" s="6">
        <v>4288136</v>
      </c>
      <c r="G280" s="6"/>
      <c r="H280" s="19">
        <v>1622011</v>
      </c>
      <c r="I280" s="20"/>
      <c r="J280" s="20"/>
      <c r="K280" s="21"/>
    </row>
    <row r="281" spans="1:11" x14ac:dyDescent="0.3">
      <c r="A281" s="17" t="s">
        <v>293</v>
      </c>
      <c r="B281" s="18"/>
      <c r="C281" s="3" t="s">
        <v>52</v>
      </c>
      <c r="D281" s="4" t="s">
        <v>11</v>
      </c>
      <c r="E281" s="5"/>
      <c r="F281" s="6">
        <v>2384439</v>
      </c>
      <c r="G281" s="6"/>
      <c r="H281" s="19">
        <v>5910147</v>
      </c>
      <c r="I281" s="20"/>
      <c r="J281" s="20"/>
      <c r="K281" s="21"/>
    </row>
    <row r="282" spans="1:11" x14ac:dyDescent="0.3">
      <c r="A282" s="17" t="s">
        <v>293</v>
      </c>
      <c r="B282" s="18"/>
      <c r="C282" s="3" t="s">
        <v>50</v>
      </c>
      <c r="D282" s="4" t="s">
        <v>11</v>
      </c>
      <c r="E282" s="5"/>
      <c r="F282" s="6"/>
      <c r="G282" s="6">
        <v>7000000</v>
      </c>
      <c r="H282" s="19">
        <v>8294586</v>
      </c>
      <c r="I282" s="20"/>
      <c r="J282" s="20"/>
      <c r="K282" s="21"/>
    </row>
    <row r="283" spans="1:11" x14ac:dyDescent="0.3">
      <c r="A283" s="17" t="s">
        <v>293</v>
      </c>
      <c r="B283" s="18"/>
      <c r="C283" s="3" t="s">
        <v>296</v>
      </c>
      <c r="D283" s="4" t="s">
        <v>18</v>
      </c>
      <c r="E283" s="5"/>
      <c r="F283" s="6"/>
      <c r="G283" s="6">
        <v>349985</v>
      </c>
      <c r="H283" s="19">
        <v>1294586</v>
      </c>
      <c r="I283" s="20"/>
      <c r="J283" s="20"/>
      <c r="K283" s="21"/>
    </row>
    <row r="284" spans="1:11" x14ac:dyDescent="0.3">
      <c r="A284" s="17" t="s">
        <v>293</v>
      </c>
      <c r="B284" s="18"/>
      <c r="C284" s="3" t="s">
        <v>297</v>
      </c>
      <c r="D284" s="4" t="s">
        <v>18</v>
      </c>
      <c r="E284" s="5"/>
      <c r="F284" s="6"/>
      <c r="G284" s="6">
        <v>133558</v>
      </c>
      <c r="H284" s="19">
        <v>944601</v>
      </c>
      <c r="I284" s="20"/>
      <c r="J284" s="20"/>
      <c r="K284" s="21"/>
    </row>
    <row r="285" spans="1:11" x14ac:dyDescent="0.3">
      <c r="A285" s="17" t="s">
        <v>293</v>
      </c>
      <c r="B285" s="18"/>
      <c r="C285" s="3" t="s">
        <v>31</v>
      </c>
      <c r="D285" s="4" t="s">
        <v>18</v>
      </c>
      <c r="E285" s="5"/>
      <c r="F285" s="6"/>
      <c r="G285" s="6">
        <v>103928</v>
      </c>
      <c r="H285" s="19">
        <v>811043</v>
      </c>
      <c r="I285" s="20"/>
      <c r="J285" s="20"/>
      <c r="K285" s="21"/>
    </row>
    <row r="286" spans="1:11" x14ac:dyDescent="0.3">
      <c r="A286" s="17" t="s">
        <v>293</v>
      </c>
      <c r="B286" s="18"/>
      <c r="C286" s="3" t="s">
        <v>298</v>
      </c>
      <c r="D286" s="4" t="s">
        <v>11</v>
      </c>
      <c r="E286" s="5"/>
      <c r="F286" s="6"/>
      <c r="G286" s="6">
        <v>109745</v>
      </c>
      <c r="H286" s="19">
        <v>707115</v>
      </c>
      <c r="I286" s="20"/>
      <c r="J286" s="20"/>
      <c r="K286" s="21"/>
    </row>
    <row r="287" spans="1:11" x14ac:dyDescent="0.3">
      <c r="A287" s="17" t="s">
        <v>207</v>
      </c>
      <c r="B287" s="18"/>
      <c r="C287" s="3" t="s">
        <v>299</v>
      </c>
      <c r="D287" s="4" t="s">
        <v>11</v>
      </c>
      <c r="E287" s="5"/>
      <c r="F287" s="6"/>
      <c r="G287" s="6">
        <v>51779</v>
      </c>
      <c r="H287" s="19">
        <v>597370</v>
      </c>
      <c r="I287" s="20"/>
      <c r="J287" s="20"/>
      <c r="K287" s="21"/>
    </row>
    <row r="288" spans="1:11" x14ac:dyDescent="0.3">
      <c r="A288" s="17" t="s">
        <v>207</v>
      </c>
      <c r="B288" s="18"/>
      <c r="C288" s="3" t="s">
        <v>300</v>
      </c>
      <c r="D288" s="4" t="s">
        <v>11</v>
      </c>
      <c r="E288" s="5"/>
      <c r="F288" s="6">
        <v>111760</v>
      </c>
      <c r="G288" s="6"/>
      <c r="H288" s="19">
        <v>545591</v>
      </c>
      <c r="I288" s="20"/>
      <c r="J288" s="20"/>
      <c r="K288" s="21"/>
    </row>
    <row r="289" spans="1:11" x14ac:dyDescent="0.3">
      <c r="A289" s="17" t="s">
        <v>207</v>
      </c>
      <c r="B289" s="18"/>
      <c r="C289" s="3" t="s">
        <v>19</v>
      </c>
      <c r="D289" s="4" t="s">
        <v>18</v>
      </c>
      <c r="E289" s="5"/>
      <c r="F289" s="6">
        <v>7086521</v>
      </c>
      <c r="G289" s="6"/>
      <c r="H289" s="19">
        <v>657351</v>
      </c>
      <c r="I289" s="20"/>
      <c r="J289" s="20"/>
      <c r="K289" s="21"/>
    </row>
    <row r="290" spans="1:11" x14ac:dyDescent="0.3">
      <c r="A290" s="17" t="s">
        <v>207</v>
      </c>
      <c r="B290" s="18"/>
      <c r="C290" s="3" t="s">
        <v>17</v>
      </c>
      <c r="D290" s="4" t="s">
        <v>18</v>
      </c>
      <c r="E290" s="5"/>
      <c r="F290" s="6"/>
      <c r="G290" s="6">
        <v>141693</v>
      </c>
      <c r="H290" s="19">
        <v>7743872</v>
      </c>
      <c r="I290" s="20"/>
      <c r="J290" s="20"/>
      <c r="K290" s="21"/>
    </row>
    <row r="291" spans="1:11" x14ac:dyDescent="0.3">
      <c r="A291" s="17" t="s">
        <v>207</v>
      </c>
      <c r="B291" s="18"/>
      <c r="C291" s="3" t="s">
        <v>19</v>
      </c>
      <c r="D291" s="4" t="s">
        <v>18</v>
      </c>
      <c r="E291" s="5"/>
      <c r="F291" s="6">
        <v>363278</v>
      </c>
      <c r="G291" s="6"/>
      <c r="H291" s="19">
        <v>7602179</v>
      </c>
      <c r="I291" s="20"/>
      <c r="J291" s="20"/>
      <c r="K291" s="21"/>
    </row>
    <row r="292" spans="1:11" x14ac:dyDescent="0.3">
      <c r="A292" s="17" t="s">
        <v>207</v>
      </c>
      <c r="B292" s="18"/>
      <c r="C292" s="3" t="s">
        <v>50</v>
      </c>
      <c r="D292" s="4" t="s">
        <v>11</v>
      </c>
      <c r="E292" s="5"/>
      <c r="F292" s="6"/>
      <c r="G292" s="6">
        <v>5000000</v>
      </c>
      <c r="H292" s="19">
        <v>7965457</v>
      </c>
      <c r="I292" s="20"/>
      <c r="J292" s="20"/>
      <c r="K292" s="21"/>
    </row>
    <row r="293" spans="1:11" x14ac:dyDescent="0.3">
      <c r="A293" s="17" t="s">
        <v>207</v>
      </c>
      <c r="B293" s="18"/>
      <c r="C293" s="3" t="s">
        <v>60</v>
      </c>
      <c r="D293" s="4" t="s">
        <v>11</v>
      </c>
      <c r="E293" s="5"/>
      <c r="F293" s="6">
        <v>3500000</v>
      </c>
      <c r="G293" s="6"/>
      <c r="H293" s="19">
        <v>2965457</v>
      </c>
      <c r="I293" s="20"/>
      <c r="J293" s="20"/>
      <c r="K293" s="21"/>
    </row>
    <row r="294" spans="1:11" x14ac:dyDescent="0.3">
      <c r="A294" s="17" t="s">
        <v>207</v>
      </c>
      <c r="B294" s="18"/>
      <c r="C294" s="3" t="s">
        <v>50</v>
      </c>
      <c r="D294" s="4" t="s">
        <v>11</v>
      </c>
      <c r="E294" s="5"/>
      <c r="F294" s="6"/>
      <c r="G294" s="6">
        <v>5000000</v>
      </c>
      <c r="H294" s="19">
        <v>6465457</v>
      </c>
      <c r="I294" s="20"/>
      <c r="J294" s="20"/>
      <c r="K294" s="21"/>
    </row>
    <row r="295" spans="1:11" x14ac:dyDescent="0.3">
      <c r="A295" s="17" t="s">
        <v>207</v>
      </c>
      <c r="B295" s="18"/>
      <c r="C295" s="3" t="s">
        <v>208</v>
      </c>
      <c r="D295" s="4" t="s">
        <v>18</v>
      </c>
      <c r="E295" s="5"/>
      <c r="F295" s="6"/>
      <c r="G295" s="6">
        <v>697760</v>
      </c>
      <c r="H295" s="19">
        <v>1465457</v>
      </c>
      <c r="I295" s="20"/>
      <c r="J295" s="20"/>
      <c r="K295" s="21"/>
    </row>
    <row r="296" spans="1:11" x14ac:dyDescent="0.3">
      <c r="A296" s="17" t="s">
        <v>207</v>
      </c>
      <c r="B296" s="18"/>
      <c r="C296" s="3" t="s">
        <v>97</v>
      </c>
      <c r="D296" s="4" t="s">
        <v>11</v>
      </c>
      <c r="E296" s="5"/>
      <c r="F296" s="6"/>
      <c r="G296" s="6">
        <v>84345</v>
      </c>
      <c r="H296" s="19">
        <v>767697</v>
      </c>
      <c r="I296" s="20"/>
      <c r="J296" s="20"/>
      <c r="K296" s="21"/>
    </row>
    <row r="297" spans="1:11" x14ac:dyDescent="0.3">
      <c r="A297" s="17" t="s">
        <v>207</v>
      </c>
      <c r="B297" s="18"/>
      <c r="C297" s="3" t="s">
        <v>209</v>
      </c>
      <c r="D297" s="4" t="s">
        <v>11</v>
      </c>
      <c r="E297" s="5"/>
      <c r="F297" s="6"/>
      <c r="G297" s="6">
        <v>66045</v>
      </c>
      <c r="H297" s="19">
        <v>683352</v>
      </c>
      <c r="I297" s="20"/>
      <c r="J297" s="20"/>
      <c r="K297" s="21"/>
    </row>
    <row r="298" spans="1:11" x14ac:dyDescent="0.3">
      <c r="A298" s="17" t="s">
        <v>207</v>
      </c>
      <c r="B298" s="18"/>
      <c r="C298" s="3" t="s">
        <v>210</v>
      </c>
      <c r="D298" s="4" t="s">
        <v>11</v>
      </c>
      <c r="E298" s="5"/>
      <c r="F298" s="6"/>
      <c r="G298" s="6">
        <v>32550</v>
      </c>
      <c r="H298" s="19">
        <v>617307</v>
      </c>
      <c r="I298" s="20"/>
      <c r="J298" s="20"/>
      <c r="K298" s="21"/>
    </row>
    <row r="299" spans="1:11" x14ac:dyDescent="0.3">
      <c r="A299" s="17" t="s">
        <v>211</v>
      </c>
      <c r="B299" s="18"/>
      <c r="C299" s="3" t="s">
        <v>48</v>
      </c>
      <c r="D299" s="4" t="s">
        <v>9</v>
      </c>
      <c r="E299" s="5"/>
      <c r="F299" s="6">
        <v>1109468</v>
      </c>
      <c r="G299" s="6"/>
      <c r="H299" s="19">
        <v>584757</v>
      </c>
      <c r="I299" s="20"/>
      <c r="J299" s="20"/>
      <c r="K299" s="21"/>
    </row>
    <row r="300" spans="1:11" x14ac:dyDescent="0.3">
      <c r="A300" s="17" t="s">
        <v>211</v>
      </c>
      <c r="B300" s="18"/>
      <c r="C300" s="3" t="s">
        <v>212</v>
      </c>
      <c r="D300" s="4" t="s">
        <v>11</v>
      </c>
      <c r="E300" s="5"/>
      <c r="F300" s="6"/>
      <c r="G300" s="6">
        <v>32650</v>
      </c>
      <c r="H300" s="19">
        <v>1694225</v>
      </c>
      <c r="I300" s="20"/>
      <c r="J300" s="20"/>
      <c r="K300" s="21"/>
    </row>
    <row r="301" spans="1:11" x14ac:dyDescent="0.3">
      <c r="A301" s="17" t="s">
        <v>211</v>
      </c>
      <c r="B301" s="18"/>
      <c r="C301" s="3" t="s">
        <v>213</v>
      </c>
      <c r="D301" s="4" t="s">
        <v>11</v>
      </c>
      <c r="E301" s="5"/>
      <c r="F301" s="6"/>
      <c r="G301" s="6">
        <v>214200</v>
      </c>
      <c r="H301" s="19">
        <v>1661575</v>
      </c>
      <c r="I301" s="20"/>
      <c r="J301" s="20"/>
      <c r="K301" s="21"/>
    </row>
    <row r="302" spans="1:11" x14ac:dyDescent="0.3">
      <c r="A302" s="17" t="s">
        <v>211</v>
      </c>
      <c r="B302" s="18"/>
      <c r="C302" s="3" t="s">
        <v>214</v>
      </c>
      <c r="D302" s="4" t="s">
        <v>11</v>
      </c>
      <c r="E302" s="5"/>
      <c r="F302" s="6"/>
      <c r="G302" s="6">
        <v>32650</v>
      </c>
      <c r="H302" s="19">
        <v>1447375</v>
      </c>
      <c r="I302" s="20"/>
      <c r="J302" s="20"/>
      <c r="K302" s="21"/>
    </row>
    <row r="303" spans="1:11" x14ac:dyDescent="0.3">
      <c r="A303" s="17" t="s">
        <v>211</v>
      </c>
      <c r="B303" s="18"/>
      <c r="C303" s="3" t="s">
        <v>215</v>
      </c>
      <c r="D303" s="4" t="s">
        <v>11</v>
      </c>
      <c r="E303" s="5"/>
      <c r="F303" s="6"/>
      <c r="G303" s="6">
        <v>234056</v>
      </c>
      <c r="H303" s="19">
        <v>1414725</v>
      </c>
      <c r="I303" s="20"/>
      <c r="J303" s="20"/>
      <c r="K303" s="21"/>
    </row>
    <row r="304" spans="1:11" x14ac:dyDescent="0.3">
      <c r="A304" s="17" t="s">
        <v>211</v>
      </c>
      <c r="B304" s="18"/>
      <c r="C304" s="3" t="s">
        <v>19</v>
      </c>
      <c r="D304" s="4" t="s">
        <v>18</v>
      </c>
      <c r="E304" s="5"/>
      <c r="F304" s="6">
        <v>727429</v>
      </c>
      <c r="G304" s="6"/>
      <c r="H304" s="19">
        <v>1180669</v>
      </c>
      <c r="I304" s="20"/>
      <c r="J304" s="20"/>
      <c r="K304" s="21"/>
    </row>
    <row r="305" spans="1:11" x14ac:dyDescent="0.3">
      <c r="A305" s="17" t="s">
        <v>211</v>
      </c>
      <c r="B305" s="18"/>
      <c r="C305" s="3" t="s">
        <v>17</v>
      </c>
      <c r="D305" s="4" t="s">
        <v>18</v>
      </c>
      <c r="E305" s="5"/>
      <c r="F305" s="6"/>
      <c r="G305" s="6">
        <v>48184</v>
      </c>
      <c r="H305" s="19">
        <v>1908098</v>
      </c>
      <c r="I305" s="20"/>
      <c r="J305" s="20"/>
      <c r="K305" s="21"/>
    </row>
    <row r="306" spans="1:11" x14ac:dyDescent="0.3">
      <c r="A306" s="17" t="s">
        <v>211</v>
      </c>
      <c r="B306" s="18"/>
      <c r="C306" s="3" t="s">
        <v>30</v>
      </c>
      <c r="D306" s="4" t="s">
        <v>11</v>
      </c>
      <c r="E306" s="5"/>
      <c r="F306" s="6"/>
      <c r="G306" s="6">
        <v>1783364</v>
      </c>
      <c r="H306" s="19">
        <v>1859914</v>
      </c>
      <c r="I306" s="20"/>
      <c r="J306" s="20"/>
      <c r="K306" s="21"/>
    </row>
    <row r="307" spans="1:11" x14ac:dyDescent="0.3">
      <c r="A307" s="17" t="s">
        <v>211</v>
      </c>
      <c r="B307" s="18"/>
      <c r="C307" s="3" t="s">
        <v>216</v>
      </c>
      <c r="D307" s="4" t="s">
        <v>11</v>
      </c>
      <c r="E307" s="5"/>
      <c r="F307" s="6"/>
      <c r="G307" s="6">
        <v>76550</v>
      </c>
      <c r="H307" s="19">
        <v>76550</v>
      </c>
      <c r="I307" s="20"/>
      <c r="J307" s="20"/>
      <c r="K307" s="21"/>
    </row>
    <row r="308" spans="1:11" x14ac:dyDescent="0.3">
      <c r="A308" s="17" t="s">
        <v>217</v>
      </c>
      <c r="B308" s="18"/>
      <c r="C308" s="3" t="s">
        <v>48</v>
      </c>
      <c r="D308" s="4" t="s">
        <v>9</v>
      </c>
      <c r="E308" s="5"/>
      <c r="F308" s="6">
        <v>2519218</v>
      </c>
      <c r="G308" s="6"/>
      <c r="H308" s="19">
        <v>0</v>
      </c>
      <c r="I308" s="20"/>
      <c r="J308" s="20"/>
      <c r="K308" s="21"/>
    </row>
    <row r="309" spans="1:11" x14ac:dyDescent="0.3">
      <c r="A309" s="17" t="s">
        <v>217</v>
      </c>
      <c r="B309" s="18"/>
      <c r="C309" s="3" t="s">
        <v>61</v>
      </c>
      <c r="D309" s="4" t="s">
        <v>11</v>
      </c>
      <c r="E309" s="5"/>
      <c r="F309" s="6"/>
      <c r="G309" s="6">
        <v>55950</v>
      </c>
      <c r="H309" s="19">
        <v>2519218</v>
      </c>
      <c r="I309" s="20"/>
      <c r="J309" s="20"/>
      <c r="K309" s="21"/>
    </row>
    <row r="310" spans="1:11" x14ac:dyDescent="0.3">
      <c r="A310" s="17" t="s">
        <v>217</v>
      </c>
      <c r="B310" s="18"/>
      <c r="C310" s="3" t="s">
        <v>218</v>
      </c>
      <c r="D310" s="4" t="s">
        <v>11</v>
      </c>
      <c r="E310" s="5"/>
      <c r="F310" s="6"/>
      <c r="G310" s="6">
        <v>23980</v>
      </c>
      <c r="H310" s="19">
        <v>2463268</v>
      </c>
      <c r="I310" s="20"/>
      <c r="J310" s="20"/>
      <c r="K310" s="21"/>
    </row>
    <row r="311" spans="1:11" x14ac:dyDescent="0.3">
      <c r="A311" s="17" t="s">
        <v>217</v>
      </c>
      <c r="B311" s="18"/>
      <c r="C311" s="3" t="s">
        <v>17</v>
      </c>
      <c r="D311" s="4" t="s">
        <v>18</v>
      </c>
      <c r="E311" s="5"/>
      <c r="F311" s="6"/>
      <c r="G311" s="6">
        <v>497868</v>
      </c>
      <c r="H311" s="19">
        <v>2439288</v>
      </c>
      <c r="I311" s="20"/>
      <c r="J311" s="20"/>
      <c r="K311" s="21"/>
    </row>
    <row r="312" spans="1:11" x14ac:dyDescent="0.3">
      <c r="A312" s="17" t="s">
        <v>217</v>
      </c>
      <c r="B312" s="18"/>
      <c r="C312" s="3" t="s">
        <v>219</v>
      </c>
      <c r="D312" s="4" t="s">
        <v>18</v>
      </c>
      <c r="E312" s="5"/>
      <c r="F312" s="6"/>
      <c r="G312" s="6">
        <v>659176</v>
      </c>
      <c r="H312" s="19">
        <v>1941420</v>
      </c>
      <c r="I312" s="20"/>
      <c r="J312" s="20"/>
      <c r="K312" s="21"/>
    </row>
    <row r="313" spans="1:11" x14ac:dyDescent="0.3">
      <c r="A313" s="17" t="s">
        <v>217</v>
      </c>
      <c r="B313" s="18"/>
      <c r="C313" s="3" t="s">
        <v>220</v>
      </c>
      <c r="D313" s="4" t="s">
        <v>18</v>
      </c>
      <c r="E313" s="5"/>
      <c r="F313" s="6"/>
      <c r="G313" s="6">
        <v>1109774</v>
      </c>
      <c r="H313" s="19">
        <v>1282244</v>
      </c>
      <c r="I313" s="20"/>
      <c r="J313" s="20"/>
      <c r="K313" s="21"/>
    </row>
    <row r="314" spans="1:11" x14ac:dyDescent="0.3">
      <c r="A314" s="17" t="s">
        <v>217</v>
      </c>
      <c r="B314" s="18"/>
      <c r="C314" s="3" t="s">
        <v>221</v>
      </c>
      <c r="D314" s="4" t="s">
        <v>11</v>
      </c>
      <c r="E314" s="5"/>
      <c r="F314" s="6"/>
      <c r="G314" s="6">
        <v>172470</v>
      </c>
      <c r="H314" s="19">
        <v>172470</v>
      </c>
      <c r="I314" s="20"/>
      <c r="J314" s="20"/>
      <c r="K314" s="21"/>
    </row>
    <row r="315" spans="1:11" x14ac:dyDescent="0.3">
      <c r="A315" s="17" t="s">
        <v>222</v>
      </c>
      <c r="B315" s="18"/>
      <c r="C315" s="3" t="s">
        <v>48</v>
      </c>
      <c r="D315" s="4" t="s">
        <v>9</v>
      </c>
      <c r="E315" s="5"/>
      <c r="F315" s="6">
        <v>1125684</v>
      </c>
      <c r="G315" s="6"/>
      <c r="H315" s="19">
        <v>0</v>
      </c>
      <c r="I315" s="20"/>
      <c r="J315" s="20"/>
      <c r="K315" s="21"/>
    </row>
    <row r="316" spans="1:11" x14ac:dyDescent="0.3">
      <c r="A316" s="17" t="s">
        <v>222</v>
      </c>
      <c r="B316" s="18"/>
      <c r="C316" s="3" t="s">
        <v>223</v>
      </c>
      <c r="D316" s="4" t="s">
        <v>11</v>
      </c>
      <c r="E316" s="5"/>
      <c r="F316" s="6"/>
      <c r="G316" s="6">
        <v>151560</v>
      </c>
      <c r="H316" s="19">
        <v>1125684</v>
      </c>
      <c r="I316" s="20"/>
      <c r="J316" s="20"/>
      <c r="K316" s="21"/>
    </row>
    <row r="317" spans="1:11" x14ac:dyDescent="0.3">
      <c r="A317" s="17" t="s">
        <v>222</v>
      </c>
      <c r="B317" s="18"/>
      <c r="C317" s="3" t="s">
        <v>224</v>
      </c>
      <c r="D317" s="4" t="s">
        <v>11</v>
      </c>
      <c r="E317" s="5"/>
      <c r="F317" s="6"/>
      <c r="G317" s="6">
        <v>160865</v>
      </c>
      <c r="H317" s="19">
        <v>974124</v>
      </c>
      <c r="I317" s="20"/>
      <c r="J317" s="20"/>
      <c r="K317" s="21"/>
    </row>
    <row r="318" spans="1:11" x14ac:dyDescent="0.3">
      <c r="A318" s="17" t="s">
        <v>222</v>
      </c>
      <c r="B318" s="18"/>
      <c r="C318" s="3" t="s">
        <v>213</v>
      </c>
      <c r="D318" s="4" t="s">
        <v>11</v>
      </c>
      <c r="E318" s="5"/>
      <c r="F318" s="6"/>
      <c r="G318" s="6">
        <v>71400</v>
      </c>
      <c r="H318" s="19">
        <v>813259</v>
      </c>
      <c r="I318" s="20"/>
      <c r="J318" s="20"/>
      <c r="K318" s="21"/>
    </row>
    <row r="319" spans="1:11" x14ac:dyDescent="0.3">
      <c r="A319" s="17" t="s">
        <v>222</v>
      </c>
      <c r="B319" s="18"/>
      <c r="C319" s="3" t="s">
        <v>106</v>
      </c>
      <c r="D319" s="4" t="s">
        <v>18</v>
      </c>
      <c r="E319" s="5"/>
      <c r="F319" s="6">
        <v>4404954</v>
      </c>
      <c r="G319" s="6"/>
      <c r="H319" s="19">
        <v>741859</v>
      </c>
      <c r="I319" s="20"/>
      <c r="J319" s="20"/>
      <c r="K319" s="21"/>
    </row>
    <row r="320" spans="1:11" x14ac:dyDescent="0.3">
      <c r="A320" s="17" t="s">
        <v>222</v>
      </c>
      <c r="B320" s="18"/>
      <c r="C320" s="3" t="s">
        <v>17</v>
      </c>
      <c r="D320" s="4" t="s">
        <v>18</v>
      </c>
      <c r="E320" s="5"/>
      <c r="F320" s="6"/>
      <c r="G320" s="6">
        <v>119851</v>
      </c>
      <c r="H320" s="19">
        <v>5146813</v>
      </c>
      <c r="I320" s="20"/>
      <c r="J320" s="20"/>
      <c r="K320" s="21"/>
    </row>
    <row r="321" spans="1:11" x14ac:dyDescent="0.3">
      <c r="A321" s="17" t="s">
        <v>222</v>
      </c>
      <c r="B321" s="18"/>
      <c r="C321" s="3" t="s">
        <v>225</v>
      </c>
      <c r="D321" s="4" t="s">
        <v>11</v>
      </c>
      <c r="E321" s="5"/>
      <c r="F321" s="6"/>
      <c r="G321" s="6">
        <v>208250</v>
      </c>
      <c r="H321" s="19">
        <v>5026962</v>
      </c>
      <c r="I321" s="20"/>
      <c r="J321" s="20"/>
      <c r="K321" s="21"/>
    </row>
    <row r="322" spans="1:11" x14ac:dyDescent="0.3">
      <c r="A322" s="17" t="s">
        <v>222</v>
      </c>
      <c r="B322" s="18"/>
      <c r="C322" s="3" t="s">
        <v>226</v>
      </c>
      <c r="D322" s="4" t="s">
        <v>18</v>
      </c>
      <c r="E322" s="5"/>
      <c r="F322" s="6"/>
      <c r="G322" s="6">
        <v>73763</v>
      </c>
      <c r="H322" s="19">
        <v>4818712</v>
      </c>
      <c r="I322" s="20"/>
      <c r="J322" s="20"/>
      <c r="K322" s="21"/>
    </row>
    <row r="323" spans="1:11" x14ac:dyDescent="0.3">
      <c r="A323" s="17" t="s">
        <v>222</v>
      </c>
      <c r="B323" s="18"/>
      <c r="C323" s="3" t="s">
        <v>136</v>
      </c>
      <c r="D323" s="4" t="s">
        <v>18</v>
      </c>
      <c r="E323" s="5"/>
      <c r="F323" s="6"/>
      <c r="G323" s="6">
        <v>4559047</v>
      </c>
      <c r="H323" s="19">
        <v>4744949</v>
      </c>
      <c r="I323" s="20"/>
      <c r="J323" s="20"/>
      <c r="K323" s="21"/>
    </row>
    <row r="324" spans="1:11" x14ac:dyDescent="0.3">
      <c r="A324" s="17" t="s">
        <v>222</v>
      </c>
      <c r="B324" s="18"/>
      <c r="C324" s="3" t="s">
        <v>227</v>
      </c>
      <c r="D324" s="4" t="s">
        <v>11</v>
      </c>
      <c r="E324" s="5"/>
      <c r="F324" s="6"/>
      <c r="G324" s="6">
        <v>46830</v>
      </c>
      <c r="H324" s="19">
        <v>185902</v>
      </c>
      <c r="I324" s="20"/>
      <c r="J324" s="20"/>
      <c r="K324" s="21"/>
    </row>
    <row r="325" spans="1:11" x14ac:dyDescent="0.3">
      <c r="A325" s="17" t="s">
        <v>222</v>
      </c>
      <c r="B325" s="18"/>
      <c r="C325" s="3" t="s">
        <v>228</v>
      </c>
      <c r="D325" s="4" t="s">
        <v>11</v>
      </c>
      <c r="E325" s="5"/>
      <c r="F325" s="6"/>
      <c r="G325" s="6">
        <v>39971</v>
      </c>
      <c r="H325" s="19">
        <v>139072</v>
      </c>
      <c r="I325" s="20"/>
      <c r="J325" s="20"/>
      <c r="K325" s="21"/>
    </row>
    <row r="326" spans="1:11" x14ac:dyDescent="0.3">
      <c r="A326" s="17" t="s">
        <v>222</v>
      </c>
      <c r="B326" s="18"/>
      <c r="C326" s="3" t="s">
        <v>229</v>
      </c>
      <c r="D326" s="4" t="s">
        <v>11</v>
      </c>
      <c r="E326" s="5"/>
      <c r="F326" s="6"/>
      <c r="G326" s="6">
        <v>38381</v>
      </c>
      <c r="H326" s="19">
        <v>99101</v>
      </c>
      <c r="I326" s="20"/>
      <c r="J326" s="20"/>
      <c r="K326" s="21"/>
    </row>
    <row r="327" spans="1:11" x14ac:dyDescent="0.3">
      <c r="A327" s="17" t="s">
        <v>222</v>
      </c>
      <c r="B327" s="18"/>
      <c r="C327" s="3" t="s">
        <v>230</v>
      </c>
      <c r="D327" s="4" t="s">
        <v>11</v>
      </c>
      <c r="E327" s="5"/>
      <c r="F327" s="6"/>
      <c r="G327" s="6">
        <v>60720</v>
      </c>
      <c r="H327" s="19">
        <v>60720</v>
      </c>
      <c r="I327" s="20"/>
      <c r="J327" s="20"/>
      <c r="K327" s="21"/>
    </row>
    <row r="328" spans="1:11" x14ac:dyDescent="0.3">
      <c r="A328" s="17" t="s">
        <v>231</v>
      </c>
      <c r="B328" s="18"/>
      <c r="C328" s="3" t="s">
        <v>8</v>
      </c>
      <c r="D328" s="4" t="s">
        <v>9</v>
      </c>
      <c r="E328" s="5"/>
      <c r="F328" s="6"/>
      <c r="G328" s="6">
        <v>2492912</v>
      </c>
      <c r="H328" s="19">
        <v>0</v>
      </c>
      <c r="I328" s="20"/>
      <c r="J328" s="20"/>
      <c r="K328" s="21"/>
    </row>
    <row r="329" spans="1:11" x14ac:dyDescent="0.3">
      <c r="A329" s="17" t="s">
        <v>231</v>
      </c>
      <c r="B329" s="18"/>
      <c r="C329" s="3" t="s">
        <v>112</v>
      </c>
      <c r="D329" s="4" t="s">
        <v>18</v>
      </c>
      <c r="E329" s="5"/>
      <c r="F329" s="6">
        <v>2654673</v>
      </c>
      <c r="G329" s="6"/>
      <c r="H329" s="19">
        <v>-2492912</v>
      </c>
      <c r="I329" s="20"/>
      <c r="J329" s="20"/>
      <c r="K329" s="21"/>
    </row>
    <row r="330" spans="1:11" x14ac:dyDescent="0.3">
      <c r="A330" s="17" t="s">
        <v>231</v>
      </c>
      <c r="B330" s="18"/>
      <c r="C330" s="3" t="s">
        <v>232</v>
      </c>
      <c r="D330" s="4" t="s">
        <v>11</v>
      </c>
      <c r="E330" s="5"/>
      <c r="F330" s="6"/>
      <c r="G330" s="6">
        <v>373257</v>
      </c>
      <c r="H330" s="19">
        <v>161761</v>
      </c>
      <c r="I330" s="20"/>
      <c r="J330" s="20"/>
      <c r="K330" s="21"/>
    </row>
    <row r="331" spans="1:11" x14ac:dyDescent="0.3">
      <c r="A331" s="17" t="s">
        <v>231</v>
      </c>
      <c r="B331" s="18"/>
      <c r="C331" s="3" t="s">
        <v>233</v>
      </c>
      <c r="D331" s="4" t="s">
        <v>11</v>
      </c>
      <c r="E331" s="5"/>
      <c r="F331" s="6"/>
      <c r="G331" s="6">
        <v>323778</v>
      </c>
      <c r="H331" s="19">
        <v>-211496</v>
      </c>
      <c r="I331" s="20"/>
      <c r="J331" s="20"/>
      <c r="K331" s="21"/>
    </row>
    <row r="332" spans="1:11" x14ac:dyDescent="0.3">
      <c r="A332" s="17" t="s">
        <v>231</v>
      </c>
      <c r="B332" s="18"/>
      <c r="C332" s="3" t="s">
        <v>233</v>
      </c>
      <c r="D332" s="4" t="s">
        <v>11</v>
      </c>
      <c r="E332" s="5"/>
      <c r="F332" s="6"/>
      <c r="G332" s="6">
        <v>44625</v>
      </c>
      <c r="H332" s="19">
        <v>-535274</v>
      </c>
      <c r="I332" s="20"/>
      <c r="J332" s="20"/>
      <c r="K332" s="21"/>
    </row>
    <row r="333" spans="1:11" x14ac:dyDescent="0.3">
      <c r="A333" s="17" t="s">
        <v>231</v>
      </c>
      <c r="B333" s="18"/>
      <c r="C333" s="3" t="s">
        <v>233</v>
      </c>
      <c r="D333" s="4" t="s">
        <v>11</v>
      </c>
      <c r="E333" s="5"/>
      <c r="F333" s="6"/>
      <c r="G333" s="6">
        <v>179452</v>
      </c>
      <c r="H333" s="19">
        <v>-579899</v>
      </c>
      <c r="I333" s="20"/>
      <c r="J333" s="20"/>
      <c r="K333" s="21"/>
    </row>
    <row r="334" spans="1:11" x14ac:dyDescent="0.3">
      <c r="A334" s="17" t="s">
        <v>231</v>
      </c>
      <c r="B334" s="18"/>
      <c r="C334" s="3" t="s">
        <v>234</v>
      </c>
      <c r="D334" s="4" t="s">
        <v>11</v>
      </c>
      <c r="E334" s="5"/>
      <c r="F334" s="6"/>
      <c r="G334" s="6">
        <v>43937</v>
      </c>
      <c r="H334" s="19">
        <v>-759351</v>
      </c>
      <c r="I334" s="20"/>
      <c r="J334" s="20"/>
      <c r="K334" s="21"/>
    </row>
    <row r="335" spans="1:11" x14ac:dyDescent="0.3">
      <c r="A335" s="17" t="s">
        <v>231</v>
      </c>
      <c r="B335" s="18"/>
      <c r="C335" s="3" t="s">
        <v>19</v>
      </c>
      <c r="D335" s="4" t="s">
        <v>18</v>
      </c>
      <c r="E335" s="5"/>
      <c r="F335" s="6">
        <v>955065</v>
      </c>
      <c r="G335" s="6"/>
      <c r="H335" s="19">
        <v>-803288</v>
      </c>
      <c r="I335" s="20"/>
      <c r="J335" s="20"/>
      <c r="K335" s="21"/>
    </row>
    <row r="336" spans="1:11" x14ac:dyDescent="0.3">
      <c r="A336" s="17" t="s">
        <v>231</v>
      </c>
      <c r="B336" s="18"/>
      <c r="C336" s="3" t="s">
        <v>81</v>
      </c>
      <c r="D336" s="4" t="s">
        <v>235</v>
      </c>
      <c r="E336" s="5" t="s">
        <v>236</v>
      </c>
      <c r="F336" s="6"/>
      <c r="G336" s="6">
        <v>112560</v>
      </c>
      <c r="H336" s="19">
        <v>151777</v>
      </c>
      <c r="I336" s="20"/>
      <c r="J336" s="20"/>
      <c r="K336" s="21"/>
    </row>
    <row r="337" spans="1:11" x14ac:dyDescent="0.3">
      <c r="A337" s="17" t="s">
        <v>231</v>
      </c>
      <c r="B337" s="18"/>
      <c r="C337" s="3" t="s">
        <v>237</v>
      </c>
      <c r="D337" s="4" t="s">
        <v>11</v>
      </c>
      <c r="E337" s="5"/>
      <c r="F337" s="6"/>
      <c r="G337" s="6">
        <v>95025</v>
      </c>
      <c r="H337" s="19">
        <v>39217</v>
      </c>
      <c r="I337" s="20"/>
      <c r="J337" s="20"/>
      <c r="K337" s="21"/>
    </row>
    <row r="338" spans="1:11" x14ac:dyDescent="0.3">
      <c r="A338" s="17" t="s">
        <v>231</v>
      </c>
      <c r="B338" s="18"/>
      <c r="C338" s="3" t="s">
        <v>238</v>
      </c>
      <c r="D338" s="4" t="s">
        <v>11</v>
      </c>
      <c r="E338" s="5"/>
      <c r="F338" s="6">
        <v>1500000</v>
      </c>
      <c r="G338" s="6"/>
      <c r="H338" s="19">
        <v>-55808</v>
      </c>
      <c r="I338" s="20"/>
      <c r="J338" s="20"/>
      <c r="K338" s="21"/>
    </row>
    <row r="339" spans="1:11" x14ac:dyDescent="0.3">
      <c r="A339" s="17" t="s">
        <v>231</v>
      </c>
      <c r="B339" s="18"/>
      <c r="C339" s="3" t="s">
        <v>51</v>
      </c>
      <c r="D339" s="4" t="s">
        <v>11</v>
      </c>
      <c r="E339" s="5"/>
      <c r="F339" s="6"/>
      <c r="G339" s="6">
        <v>500000</v>
      </c>
      <c r="H339" s="19">
        <v>1444192</v>
      </c>
      <c r="I339" s="20"/>
      <c r="J339" s="20"/>
      <c r="K339" s="21"/>
    </row>
    <row r="340" spans="1:11" x14ac:dyDescent="0.3">
      <c r="A340" s="17" t="s">
        <v>231</v>
      </c>
      <c r="B340" s="18"/>
      <c r="C340" s="3" t="s">
        <v>50</v>
      </c>
      <c r="D340" s="4" t="s">
        <v>11</v>
      </c>
      <c r="E340" s="5"/>
      <c r="F340" s="6"/>
      <c r="G340" s="6">
        <v>944192</v>
      </c>
      <c r="H340" s="19">
        <v>944192</v>
      </c>
      <c r="I340" s="20"/>
      <c r="J340" s="20"/>
      <c r="K340" s="21"/>
    </row>
    <row r="341" spans="1:11" x14ac:dyDescent="0.3">
      <c r="A341" s="17" t="s">
        <v>231</v>
      </c>
      <c r="B341" s="18"/>
      <c r="C341" s="3" t="s">
        <v>8</v>
      </c>
      <c r="D341" s="4" t="s">
        <v>9</v>
      </c>
      <c r="E341" s="5"/>
      <c r="F341" s="6"/>
      <c r="G341" s="6">
        <v>45000</v>
      </c>
      <c r="H341" s="19">
        <v>0</v>
      </c>
      <c r="I341" s="20"/>
      <c r="J341" s="20"/>
      <c r="K341" s="21"/>
    </row>
    <row r="342" spans="1:11" x14ac:dyDescent="0.3">
      <c r="A342" s="17" t="s">
        <v>231</v>
      </c>
      <c r="B342" s="18"/>
      <c r="C342" s="3" t="s">
        <v>239</v>
      </c>
      <c r="D342" s="4" t="s">
        <v>11</v>
      </c>
      <c r="E342" s="5"/>
      <c r="F342" s="6">
        <v>45000</v>
      </c>
      <c r="G342" s="6"/>
      <c r="H342" s="19">
        <v>-45000</v>
      </c>
      <c r="I342" s="20"/>
      <c r="J342" s="20"/>
      <c r="K342" s="21"/>
    </row>
    <row r="343" spans="1:11" x14ac:dyDescent="0.3">
      <c r="A343" s="17" t="s">
        <v>240</v>
      </c>
      <c r="B343" s="18"/>
      <c r="C343" s="3" t="s">
        <v>48</v>
      </c>
      <c r="D343" s="4" t="s">
        <v>9</v>
      </c>
      <c r="E343" s="5"/>
      <c r="F343" s="6">
        <v>279217</v>
      </c>
      <c r="G343" s="6"/>
      <c r="H343" s="19">
        <v>0</v>
      </c>
      <c r="I343" s="20"/>
      <c r="J343" s="20"/>
      <c r="K343" s="21"/>
    </row>
    <row r="344" spans="1:11" x14ac:dyDescent="0.3">
      <c r="A344" s="17" t="s">
        <v>240</v>
      </c>
      <c r="B344" s="18"/>
      <c r="C344" s="3" t="s">
        <v>241</v>
      </c>
      <c r="D344" s="4" t="s">
        <v>11</v>
      </c>
      <c r="E344" s="5"/>
      <c r="F344" s="6"/>
      <c r="G344" s="6">
        <v>26500</v>
      </c>
      <c r="H344" s="19">
        <v>279217</v>
      </c>
      <c r="I344" s="20"/>
      <c r="J344" s="20"/>
      <c r="K344" s="21"/>
    </row>
    <row r="345" spans="1:11" x14ac:dyDescent="0.3">
      <c r="A345" s="17" t="s">
        <v>240</v>
      </c>
      <c r="B345" s="18"/>
      <c r="C345" s="3" t="s">
        <v>242</v>
      </c>
      <c r="D345" s="4" t="s">
        <v>11</v>
      </c>
      <c r="E345" s="5"/>
      <c r="F345" s="6"/>
      <c r="G345" s="6">
        <v>107939</v>
      </c>
      <c r="H345" s="19">
        <v>252717</v>
      </c>
      <c r="I345" s="20"/>
      <c r="J345" s="20"/>
      <c r="K345" s="21"/>
    </row>
    <row r="346" spans="1:11" x14ac:dyDescent="0.3">
      <c r="A346" s="17" t="s">
        <v>240</v>
      </c>
      <c r="B346" s="18"/>
      <c r="C346" s="3" t="s">
        <v>243</v>
      </c>
      <c r="D346" s="4" t="s">
        <v>11</v>
      </c>
      <c r="E346" s="5"/>
      <c r="F346" s="6"/>
      <c r="G346" s="6">
        <v>144778</v>
      </c>
      <c r="H346" s="19">
        <v>144778</v>
      </c>
      <c r="I346" s="20"/>
      <c r="J346" s="20"/>
      <c r="K346" s="21"/>
    </row>
    <row r="347" spans="1:11" x14ac:dyDescent="0.3">
      <c r="A347" s="17" t="s">
        <v>244</v>
      </c>
      <c r="B347" s="18"/>
      <c r="C347" s="3" t="s">
        <v>8</v>
      </c>
      <c r="D347" s="4" t="s">
        <v>9</v>
      </c>
      <c r="E347" s="5"/>
      <c r="F347" s="6"/>
      <c r="G347" s="6">
        <v>2495675</v>
      </c>
      <c r="H347" s="19">
        <v>0</v>
      </c>
      <c r="I347" s="20"/>
      <c r="J347" s="20"/>
      <c r="K347" s="21"/>
    </row>
    <row r="348" spans="1:11" x14ac:dyDescent="0.3">
      <c r="A348" s="17" t="s">
        <v>244</v>
      </c>
      <c r="B348" s="18"/>
      <c r="C348" s="3" t="s">
        <v>245</v>
      </c>
      <c r="D348" s="4" t="s">
        <v>11</v>
      </c>
      <c r="E348" s="5"/>
      <c r="F348" s="6"/>
      <c r="G348" s="6">
        <v>97618</v>
      </c>
      <c r="H348" s="19">
        <v>-2495675</v>
      </c>
      <c r="I348" s="20"/>
      <c r="J348" s="20"/>
      <c r="K348" s="21"/>
    </row>
    <row r="349" spans="1:11" x14ac:dyDescent="0.3">
      <c r="A349" s="17" t="s">
        <v>244</v>
      </c>
      <c r="B349" s="18"/>
      <c r="C349" s="3" t="s">
        <v>246</v>
      </c>
      <c r="D349" s="4" t="s">
        <v>11</v>
      </c>
      <c r="E349" s="5"/>
      <c r="F349" s="6"/>
      <c r="G349" s="6">
        <v>92860</v>
      </c>
      <c r="H349" s="19">
        <v>-2593293</v>
      </c>
      <c r="I349" s="20"/>
      <c r="J349" s="20"/>
      <c r="K349" s="21"/>
    </row>
    <row r="350" spans="1:11" x14ac:dyDescent="0.3">
      <c r="A350" s="17" t="s">
        <v>244</v>
      </c>
      <c r="B350" s="18"/>
      <c r="C350" s="3" t="s">
        <v>19</v>
      </c>
      <c r="D350" s="4" t="s">
        <v>18</v>
      </c>
      <c r="E350" s="5"/>
      <c r="F350" s="6">
        <v>3872562</v>
      </c>
      <c r="G350" s="6"/>
      <c r="H350" s="19">
        <v>-2686153</v>
      </c>
      <c r="I350" s="20"/>
      <c r="J350" s="20"/>
      <c r="K350" s="21"/>
    </row>
    <row r="351" spans="1:11" x14ac:dyDescent="0.3">
      <c r="A351" s="17" t="s">
        <v>244</v>
      </c>
      <c r="B351" s="18"/>
      <c r="C351" s="3" t="s">
        <v>17</v>
      </c>
      <c r="D351" s="4" t="s">
        <v>18</v>
      </c>
      <c r="E351" s="5"/>
      <c r="F351" s="6"/>
      <c r="G351" s="6">
        <v>156873</v>
      </c>
      <c r="H351" s="19">
        <v>1186409</v>
      </c>
      <c r="I351" s="20"/>
      <c r="J351" s="20"/>
      <c r="K351" s="21"/>
    </row>
    <row r="352" spans="1:11" x14ac:dyDescent="0.3">
      <c r="A352" s="17" t="s">
        <v>244</v>
      </c>
      <c r="B352" s="18"/>
      <c r="C352" s="3" t="s">
        <v>247</v>
      </c>
      <c r="D352" s="4" t="s">
        <v>11</v>
      </c>
      <c r="E352" s="5"/>
      <c r="F352" s="6"/>
      <c r="G352" s="6">
        <v>64259</v>
      </c>
      <c r="H352" s="19">
        <v>1029536</v>
      </c>
      <c r="I352" s="20"/>
      <c r="J352" s="20"/>
      <c r="K352" s="21"/>
    </row>
    <row r="353" spans="1:11" x14ac:dyDescent="0.3">
      <c r="A353" s="17" t="s">
        <v>248</v>
      </c>
      <c r="B353" s="18"/>
      <c r="C353" s="3" t="s">
        <v>249</v>
      </c>
      <c r="D353" s="4" t="s">
        <v>18</v>
      </c>
      <c r="E353" s="5"/>
      <c r="F353" s="6"/>
      <c r="G353" s="6">
        <v>18760</v>
      </c>
      <c r="H353" s="19">
        <v>965277</v>
      </c>
      <c r="I353" s="20"/>
      <c r="J353" s="20"/>
      <c r="K353" s="21"/>
    </row>
    <row r="354" spans="1:11" x14ac:dyDescent="0.3">
      <c r="A354" s="17" t="s">
        <v>248</v>
      </c>
      <c r="B354" s="18"/>
      <c r="C354" s="3" t="s">
        <v>250</v>
      </c>
      <c r="D354" s="4" t="s">
        <v>11</v>
      </c>
      <c r="E354" s="5"/>
      <c r="F354" s="6"/>
      <c r="G354" s="6">
        <v>57963</v>
      </c>
      <c r="H354" s="19">
        <v>946517</v>
      </c>
      <c r="I354" s="20"/>
      <c r="J354" s="20"/>
      <c r="K354" s="21"/>
    </row>
    <row r="355" spans="1:11" x14ac:dyDescent="0.3">
      <c r="A355" s="17" t="s">
        <v>248</v>
      </c>
      <c r="B355" s="18"/>
      <c r="C355" s="3" t="s">
        <v>251</v>
      </c>
      <c r="D355" s="4" t="s">
        <v>11</v>
      </c>
      <c r="E355" s="5"/>
      <c r="F355" s="6"/>
      <c r="G355" s="6">
        <v>98515</v>
      </c>
      <c r="H355" s="19">
        <v>888554</v>
      </c>
      <c r="I355" s="20"/>
      <c r="J355" s="20"/>
      <c r="K355" s="21"/>
    </row>
    <row r="356" spans="1:11" x14ac:dyDescent="0.3">
      <c r="A356" s="17" t="s">
        <v>252</v>
      </c>
      <c r="B356" s="18"/>
      <c r="C356" s="3" t="s">
        <v>48</v>
      </c>
      <c r="D356" s="4" t="s">
        <v>9</v>
      </c>
      <c r="E356" s="5"/>
      <c r="F356" s="6">
        <v>1428282</v>
      </c>
      <c r="G356" s="6"/>
      <c r="H356" s="19">
        <v>790039</v>
      </c>
      <c r="I356" s="20"/>
      <c r="J356" s="20"/>
      <c r="K356" s="21"/>
    </row>
    <row r="357" spans="1:11" x14ac:dyDescent="0.3">
      <c r="A357" s="17" t="s">
        <v>252</v>
      </c>
      <c r="B357" s="18"/>
      <c r="C357" s="3" t="s">
        <v>253</v>
      </c>
      <c r="D357" s="4" t="s">
        <v>11</v>
      </c>
      <c r="E357" s="5"/>
      <c r="F357" s="6"/>
      <c r="G357" s="6">
        <v>80649</v>
      </c>
      <c r="H357" s="19">
        <v>2218321</v>
      </c>
      <c r="I357" s="20"/>
      <c r="J357" s="20"/>
      <c r="K357" s="21"/>
    </row>
    <row r="358" spans="1:11" x14ac:dyDescent="0.3">
      <c r="A358" s="17" t="s">
        <v>252</v>
      </c>
      <c r="B358" s="18"/>
      <c r="C358" s="3" t="s">
        <v>254</v>
      </c>
      <c r="D358" s="4" t="s">
        <v>11</v>
      </c>
      <c r="E358" s="5"/>
      <c r="F358" s="6"/>
      <c r="G358" s="6">
        <v>45000</v>
      </c>
      <c r="H358" s="19">
        <v>2137672</v>
      </c>
      <c r="I358" s="20"/>
      <c r="J358" s="20"/>
      <c r="K358" s="21"/>
    </row>
    <row r="359" spans="1:11" x14ac:dyDescent="0.3">
      <c r="A359" s="17" t="s">
        <v>252</v>
      </c>
      <c r="B359" s="18"/>
      <c r="C359" s="3" t="s">
        <v>105</v>
      </c>
      <c r="D359" s="4" t="s">
        <v>11</v>
      </c>
      <c r="E359" s="5"/>
      <c r="F359" s="6"/>
      <c r="G359" s="6">
        <v>63353</v>
      </c>
      <c r="H359" s="19">
        <v>2092672</v>
      </c>
      <c r="I359" s="20"/>
      <c r="J359" s="20"/>
      <c r="K359" s="21"/>
    </row>
    <row r="360" spans="1:11" x14ac:dyDescent="0.3">
      <c r="A360" s="17" t="s">
        <v>252</v>
      </c>
      <c r="B360" s="18"/>
      <c r="C360" s="3" t="s">
        <v>225</v>
      </c>
      <c r="D360" s="4" t="s">
        <v>11</v>
      </c>
      <c r="E360" s="5"/>
      <c r="F360" s="6"/>
      <c r="G360" s="6">
        <v>1874250</v>
      </c>
      <c r="H360" s="19">
        <v>2029319</v>
      </c>
      <c r="I360" s="20"/>
      <c r="J360" s="20"/>
      <c r="K360" s="21"/>
    </row>
    <row r="361" spans="1:11" x14ac:dyDescent="0.3">
      <c r="A361" s="17" t="s">
        <v>252</v>
      </c>
      <c r="B361" s="18"/>
      <c r="C361" s="3" t="s">
        <v>255</v>
      </c>
      <c r="D361" s="4" t="s">
        <v>11</v>
      </c>
      <c r="E361" s="5"/>
      <c r="F361" s="6"/>
      <c r="G361" s="6">
        <v>64919</v>
      </c>
      <c r="H361" s="19">
        <v>155069</v>
      </c>
      <c r="I361" s="20"/>
      <c r="J361" s="20"/>
      <c r="K361" s="21"/>
    </row>
    <row r="362" spans="1:11" x14ac:dyDescent="0.3">
      <c r="A362" s="17" t="s">
        <v>252</v>
      </c>
      <c r="B362" s="18"/>
      <c r="C362" s="3" t="s">
        <v>30</v>
      </c>
      <c r="D362" s="4" t="s">
        <v>11</v>
      </c>
      <c r="E362" s="5"/>
      <c r="F362" s="6"/>
      <c r="G362" s="6">
        <v>78970</v>
      </c>
      <c r="H362" s="19">
        <v>90150</v>
      </c>
      <c r="I362" s="20"/>
      <c r="J362" s="20"/>
      <c r="K362" s="21"/>
    </row>
    <row r="363" spans="1:11" x14ac:dyDescent="0.3">
      <c r="A363" s="17" t="s">
        <v>252</v>
      </c>
      <c r="B363" s="18"/>
      <c r="C363" s="3" t="s">
        <v>256</v>
      </c>
      <c r="D363" s="4" t="s">
        <v>11</v>
      </c>
      <c r="E363" s="5"/>
      <c r="F363" s="6"/>
      <c r="G363" s="6">
        <v>22950</v>
      </c>
      <c r="H363" s="19">
        <v>11180</v>
      </c>
      <c r="I363" s="20"/>
      <c r="J363" s="20"/>
      <c r="K363" s="21"/>
    </row>
    <row r="364" spans="1:11" x14ac:dyDescent="0.3">
      <c r="A364" s="17" t="s">
        <v>252</v>
      </c>
      <c r="B364" s="18"/>
      <c r="C364" s="3" t="s">
        <v>257</v>
      </c>
      <c r="D364" s="4" t="s">
        <v>11</v>
      </c>
      <c r="E364" s="5"/>
      <c r="F364" s="6">
        <v>160000</v>
      </c>
      <c r="G364" s="6"/>
      <c r="H364" s="19">
        <v>-11770</v>
      </c>
      <c r="I364" s="20"/>
      <c r="J364" s="20"/>
      <c r="K364" s="21"/>
    </row>
    <row r="365" spans="1:11" x14ac:dyDescent="0.3">
      <c r="A365" s="17" t="s">
        <v>252</v>
      </c>
      <c r="B365" s="18"/>
      <c r="C365" s="3" t="s">
        <v>258</v>
      </c>
      <c r="D365" s="4" t="s">
        <v>11</v>
      </c>
      <c r="E365" s="5"/>
      <c r="F365" s="6"/>
      <c r="G365" s="6">
        <v>114240</v>
      </c>
      <c r="H365" s="19">
        <v>148230</v>
      </c>
      <c r="I365" s="20"/>
      <c r="J365" s="20"/>
      <c r="K365" s="21"/>
    </row>
    <row r="366" spans="1:11" x14ac:dyDescent="0.3">
      <c r="A366" s="17" t="s">
        <v>252</v>
      </c>
      <c r="B366" s="18"/>
      <c r="C366" s="3" t="s">
        <v>259</v>
      </c>
      <c r="D366" s="4" t="s">
        <v>11</v>
      </c>
      <c r="E366" s="5"/>
      <c r="F366" s="6"/>
      <c r="G366" s="6">
        <v>33990</v>
      </c>
      <c r="H366" s="19">
        <v>33990</v>
      </c>
      <c r="I366" s="20"/>
      <c r="J366" s="20"/>
      <c r="K366" s="21"/>
    </row>
    <row r="367" spans="1:11" x14ac:dyDescent="0.3">
      <c r="A367" s="17" t="s">
        <v>260</v>
      </c>
      <c r="B367" s="18"/>
      <c r="C367" s="3" t="s">
        <v>8</v>
      </c>
      <c r="D367" s="4" t="s">
        <v>9</v>
      </c>
      <c r="E367" s="5"/>
      <c r="F367" s="6"/>
      <c r="G367" s="6">
        <v>1428282</v>
      </c>
      <c r="H367" s="19">
        <v>0</v>
      </c>
      <c r="I367" s="20"/>
      <c r="J367" s="20"/>
      <c r="K367" s="21"/>
    </row>
    <row r="368" spans="1:11" x14ac:dyDescent="0.3">
      <c r="A368" s="17" t="s">
        <v>260</v>
      </c>
      <c r="B368" s="18"/>
      <c r="C368" s="3" t="s">
        <v>45</v>
      </c>
      <c r="D368" s="4" t="s">
        <v>18</v>
      </c>
      <c r="E368" s="5"/>
      <c r="F368" s="6"/>
      <c r="G368" s="6">
        <v>39979</v>
      </c>
      <c r="H368" s="19">
        <v>-1428282</v>
      </c>
      <c r="I368" s="20"/>
      <c r="J368" s="20"/>
      <c r="K368" s="21"/>
    </row>
    <row r="369" spans="1:11" x14ac:dyDescent="0.3">
      <c r="A369" s="17" t="s">
        <v>260</v>
      </c>
      <c r="B369" s="18"/>
      <c r="C369" s="3" t="s">
        <v>19</v>
      </c>
      <c r="D369" s="4" t="s">
        <v>18</v>
      </c>
      <c r="E369" s="5"/>
      <c r="F369" s="6">
        <v>2900037</v>
      </c>
      <c r="G369" s="6"/>
      <c r="H369" s="19">
        <v>-1468261</v>
      </c>
      <c r="I369" s="20"/>
      <c r="J369" s="20"/>
      <c r="K369" s="21"/>
    </row>
    <row r="370" spans="1:11" x14ac:dyDescent="0.3">
      <c r="A370" s="17" t="s">
        <v>260</v>
      </c>
      <c r="B370" s="18"/>
      <c r="C370" s="3" t="s">
        <v>261</v>
      </c>
      <c r="D370" s="4" t="s">
        <v>11</v>
      </c>
      <c r="E370" s="5"/>
      <c r="F370" s="6"/>
      <c r="G370" s="6">
        <v>49569</v>
      </c>
      <c r="H370" s="19">
        <v>1431776</v>
      </c>
      <c r="I370" s="20"/>
      <c r="J370" s="20"/>
      <c r="K370" s="21"/>
    </row>
    <row r="371" spans="1:11" x14ac:dyDescent="0.3">
      <c r="A371" s="17" t="s">
        <v>260</v>
      </c>
      <c r="B371" s="18"/>
      <c r="C371" s="3" t="s">
        <v>17</v>
      </c>
      <c r="D371" s="4" t="s">
        <v>18</v>
      </c>
      <c r="E371" s="5"/>
      <c r="F371" s="6"/>
      <c r="G371" s="6">
        <v>51148</v>
      </c>
      <c r="H371" s="19">
        <v>1382207</v>
      </c>
      <c r="I371" s="20"/>
      <c r="J371" s="20"/>
      <c r="K371" s="21"/>
    </row>
    <row r="372" spans="1:11" x14ac:dyDescent="0.3">
      <c r="A372" s="17" t="s">
        <v>260</v>
      </c>
      <c r="B372" s="18"/>
      <c r="C372" s="3" t="s">
        <v>262</v>
      </c>
      <c r="D372" s="4" t="s">
        <v>11</v>
      </c>
      <c r="E372" s="5"/>
      <c r="F372" s="6"/>
      <c r="G372" s="6">
        <v>32809</v>
      </c>
      <c r="H372" s="19">
        <v>1331059</v>
      </c>
      <c r="I372" s="20"/>
      <c r="J372" s="20"/>
      <c r="K372" s="21"/>
    </row>
    <row r="373" spans="1:11" x14ac:dyDescent="0.3">
      <c r="A373" s="17" t="s">
        <v>260</v>
      </c>
      <c r="B373" s="18"/>
      <c r="C373" s="3" t="s">
        <v>263</v>
      </c>
      <c r="D373" s="4" t="s">
        <v>11</v>
      </c>
      <c r="E373" s="5"/>
      <c r="F373" s="6"/>
      <c r="G373" s="6">
        <v>24139</v>
      </c>
      <c r="H373" s="19">
        <v>1298250</v>
      </c>
      <c r="I373" s="20"/>
      <c r="J373" s="20"/>
      <c r="K373" s="21"/>
    </row>
    <row r="374" spans="1:11" x14ac:dyDescent="0.3">
      <c r="A374" s="17" t="s">
        <v>260</v>
      </c>
      <c r="B374" s="18"/>
      <c r="C374" s="3" t="s">
        <v>148</v>
      </c>
      <c r="D374" s="4" t="s">
        <v>11</v>
      </c>
      <c r="E374" s="5"/>
      <c r="F374" s="6">
        <v>90000</v>
      </c>
      <c r="G374" s="6"/>
      <c r="H374" s="19">
        <v>1274111</v>
      </c>
      <c r="I374" s="20"/>
      <c r="J374" s="20"/>
      <c r="K374" s="21"/>
    </row>
    <row r="375" spans="1:11" x14ac:dyDescent="0.3">
      <c r="A375" s="17" t="s">
        <v>260</v>
      </c>
      <c r="B375" s="18"/>
      <c r="C375" s="3" t="s">
        <v>149</v>
      </c>
      <c r="D375" s="4" t="s">
        <v>11</v>
      </c>
      <c r="E375" s="5"/>
      <c r="F375" s="6">
        <v>95000</v>
      </c>
      <c r="G375" s="6"/>
      <c r="H375" s="19">
        <v>1364111</v>
      </c>
      <c r="I375" s="20"/>
      <c r="J375" s="20"/>
      <c r="K375" s="21"/>
    </row>
    <row r="376" spans="1:11" x14ac:dyDescent="0.3">
      <c r="A376" s="17" t="s">
        <v>260</v>
      </c>
      <c r="B376" s="18"/>
      <c r="C376" s="3" t="s">
        <v>150</v>
      </c>
      <c r="D376" s="4" t="s">
        <v>11</v>
      </c>
      <c r="E376" s="5"/>
      <c r="F376" s="6">
        <v>700000</v>
      </c>
      <c r="G376" s="6"/>
      <c r="H376" s="19">
        <v>1459111</v>
      </c>
      <c r="I376" s="20"/>
      <c r="J376" s="20"/>
      <c r="K376" s="21"/>
    </row>
    <row r="377" spans="1:11" x14ac:dyDescent="0.3">
      <c r="A377" s="17" t="s">
        <v>260</v>
      </c>
      <c r="B377" s="18"/>
      <c r="C377" s="3" t="s">
        <v>219</v>
      </c>
      <c r="D377" s="4" t="s">
        <v>18</v>
      </c>
      <c r="E377" s="5"/>
      <c r="F377" s="6"/>
      <c r="G377" s="6">
        <v>1581341</v>
      </c>
      <c r="H377" s="19">
        <v>2159111</v>
      </c>
      <c r="I377" s="20"/>
      <c r="J377" s="20"/>
      <c r="K377" s="21"/>
    </row>
    <row r="378" spans="1:11" x14ac:dyDescent="0.3">
      <c r="A378" s="17" t="s">
        <v>260</v>
      </c>
      <c r="B378" s="18"/>
      <c r="C378" s="3" t="s">
        <v>264</v>
      </c>
      <c r="D378" s="4" t="s">
        <v>11</v>
      </c>
      <c r="E378" s="5"/>
      <c r="F378" s="6"/>
      <c r="G378" s="6">
        <v>49571</v>
      </c>
      <c r="H378" s="19">
        <v>577770</v>
      </c>
      <c r="I378" s="20"/>
      <c r="J378" s="20"/>
      <c r="K378" s="21"/>
    </row>
    <row r="379" spans="1:11" x14ac:dyDescent="0.3">
      <c r="A379" s="17" t="s">
        <v>260</v>
      </c>
      <c r="B379" s="18"/>
      <c r="C379" s="3" t="s">
        <v>265</v>
      </c>
      <c r="D379" s="4" t="s">
        <v>11</v>
      </c>
      <c r="E379" s="5"/>
      <c r="F379" s="6"/>
      <c r="G379" s="6">
        <v>23002</v>
      </c>
      <c r="H379" s="19">
        <v>528199</v>
      </c>
      <c r="I379" s="20"/>
      <c r="J379" s="20"/>
      <c r="K379" s="21"/>
    </row>
    <row r="380" spans="1:11" x14ac:dyDescent="0.3">
      <c r="A380" s="17" t="s">
        <v>266</v>
      </c>
      <c r="B380" s="18"/>
      <c r="C380" s="3" t="s">
        <v>48</v>
      </c>
      <c r="D380" s="4" t="s">
        <v>9</v>
      </c>
      <c r="E380" s="5"/>
      <c r="F380" s="6">
        <v>1089283</v>
      </c>
      <c r="G380" s="6"/>
      <c r="H380" s="19">
        <v>505197</v>
      </c>
      <c r="I380" s="20"/>
      <c r="J380" s="20"/>
      <c r="K380" s="21"/>
    </row>
    <row r="381" spans="1:11" x14ac:dyDescent="0.3">
      <c r="A381" s="17" t="s">
        <v>266</v>
      </c>
      <c r="B381" s="18"/>
      <c r="C381" s="3" t="s">
        <v>152</v>
      </c>
      <c r="D381" s="4" t="s">
        <v>9</v>
      </c>
      <c r="E381" s="5"/>
      <c r="F381" s="6">
        <v>11880</v>
      </c>
      <c r="G381" s="6"/>
      <c r="H381" s="19">
        <v>1594480</v>
      </c>
      <c r="I381" s="20"/>
      <c r="J381" s="20"/>
      <c r="K381" s="21"/>
    </row>
    <row r="382" spans="1:11" x14ac:dyDescent="0.3">
      <c r="A382" s="17" t="s">
        <v>266</v>
      </c>
      <c r="B382" s="18"/>
      <c r="C382" s="3" t="s">
        <v>153</v>
      </c>
      <c r="D382" s="4" t="s">
        <v>9</v>
      </c>
      <c r="E382" s="5"/>
      <c r="F382" s="6">
        <v>831</v>
      </c>
      <c r="G382" s="6"/>
      <c r="H382" s="19">
        <v>1606360</v>
      </c>
      <c r="I382" s="20"/>
      <c r="J382" s="20"/>
      <c r="K382" s="21"/>
    </row>
    <row r="383" spans="1:11" x14ac:dyDescent="0.3">
      <c r="A383" s="17" t="s">
        <v>266</v>
      </c>
      <c r="B383" s="18"/>
      <c r="C383" s="3" t="s">
        <v>135</v>
      </c>
      <c r="D383" s="4" t="s">
        <v>18</v>
      </c>
      <c r="E383" s="5"/>
      <c r="F383" s="6"/>
      <c r="G383" s="6">
        <v>67964</v>
      </c>
      <c r="H383" s="19">
        <v>1607191</v>
      </c>
      <c r="I383" s="20"/>
      <c r="J383" s="20"/>
      <c r="K383" s="21"/>
    </row>
    <row r="384" spans="1:11" x14ac:dyDescent="0.3">
      <c r="A384" s="17" t="s">
        <v>266</v>
      </c>
      <c r="B384" s="18"/>
      <c r="C384" s="3" t="s">
        <v>267</v>
      </c>
      <c r="D384" s="4" t="s">
        <v>11</v>
      </c>
      <c r="E384" s="5"/>
      <c r="F384" s="6"/>
      <c r="G384" s="6">
        <v>69711</v>
      </c>
      <c r="H384" s="19">
        <v>1539227</v>
      </c>
      <c r="I384" s="20"/>
      <c r="J384" s="20"/>
      <c r="K384" s="21"/>
    </row>
    <row r="385" spans="1:11" x14ac:dyDescent="0.3">
      <c r="A385" s="17" t="s">
        <v>266</v>
      </c>
      <c r="B385" s="18"/>
      <c r="C385" s="3" t="s">
        <v>143</v>
      </c>
      <c r="D385" s="4" t="s">
        <v>18</v>
      </c>
      <c r="E385" s="5"/>
      <c r="F385" s="6">
        <v>13458</v>
      </c>
      <c r="G385" s="6"/>
      <c r="H385" s="19">
        <v>1469516</v>
      </c>
      <c r="I385" s="20"/>
      <c r="J385" s="20"/>
      <c r="K385" s="21"/>
    </row>
    <row r="386" spans="1:11" x14ac:dyDescent="0.3">
      <c r="A386" s="17" t="s">
        <v>266</v>
      </c>
      <c r="B386" s="18"/>
      <c r="C386" s="3" t="s">
        <v>143</v>
      </c>
      <c r="D386" s="4" t="s">
        <v>18</v>
      </c>
      <c r="E386" s="5"/>
      <c r="F386" s="6">
        <v>7523</v>
      </c>
      <c r="G386" s="6"/>
      <c r="H386" s="19">
        <v>1482974</v>
      </c>
      <c r="I386" s="20"/>
      <c r="J386" s="20"/>
      <c r="K386" s="21"/>
    </row>
    <row r="387" spans="1:11" x14ac:dyDescent="0.3">
      <c r="A387" s="17" t="s">
        <v>266</v>
      </c>
      <c r="B387" s="18"/>
      <c r="C387" s="3" t="s">
        <v>268</v>
      </c>
      <c r="D387" s="4" t="s">
        <v>11</v>
      </c>
      <c r="E387" s="5"/>
      <c r="F387" s="6"/>
      <c r="G387" s="6">
        <v>70500</v>
      </c>
      <c r="H387" s="19">
        <v>1490497</v>
      </c>
      <c r="I387" s="20"/>
      <c r="J387" s="20"/>
      <c r="K387" s="21"/>
    </row>
    <row r="388" spans="1:11" x14ac:dyDescent="0.3">
      <c r="A388" s="17" t="s">
        <v>266</v>
      </c>
      <c r="B388" s="18"/>
      <c r="C388" s="3" t="s">
        <v>269</v>
      </c>
      <c r="D388" s="4" t="s">
        <v>11</v>
      </c>
      <c r="E388" s="5"/>
      <c r="F388" s="6"/>
      <c r="G388" s="6">
        <v>76468</v>
      </c>
      <c r="H388" s="19">
        <v>1419997</v>
      </c>
      <c r="I388" s="20"/>
      <c r="J388" s="20"/>
      <c r="K388" s="21"/>
    </row>
    <row r="389" spans="1:11" x14ac:dyDescent="0.3">
      <c r="A389" s="17" t="s">
        <v>266</v>
      </c>
      <c r="B389" s="18"/>
      <c r="C389" s="3" t="s">
        <v>17</v>
      </c>
      <c r="D389" s="4" t="s">
        <v>18</v>
      </c>
      <c r="E389" s="5"/>
      <c r="F389" s="6"/>
      <c r="G389" s="6">
        <v>180424</v>
      </c>
      <c r="H389" s="19">
        <v>1343529</v>
      </c>
      <c r="I389" s="20"/>
      <c r="J389" s="20"/>
      <c r="K389" s="21"/>
    </row>
    <row r="390" spans="1:11" x14ac:dyDescent="0.3">
      <c r="A390" s="17" t="s">
        <v>266</v>
      </c>
      <c r="B390" s="18"/>
      <c r="C390" s="3" t="s">
        <v>270</v>
      </c>
      <c r="D390" s="4" t="s">
        <v>18</v>
      </c>
      <c r="E390" s="5"/>
      <c r="F390" s="6"/>
      <c r="G390" s="6">
        <v>32650</v>
      </c>
      <c r="H390" s="19">
        <v>1163105</v>
      </c>
      <c r="I390" s="20"/>
      <c r="J390" s="20"/>
      <c r="K390" s="21"/>
    </row>
    <row r="391" spans="1:11" x14ac:dyDescent="0.3">
      <c r="A391" s="17" t="s">
        <v>266</v>
      </c>
      <c r="B391" s="18"/>
      <c r="C391" s="3" t="s">
        <v>154</v>
      </c>
      <c r="D391" s="4" t="s">
        <v>18</v>
      </c>
      <c r="E391" s="5"/>
      <c r="F391" s="6"/>
      <c r="G391" s="6">
        <v>85497</v>
      </c>
      <c r="H391" s="19">
        <v>1130455</v>
      </c>
      <c r="I391" s="20"/>
      <c r="J391" s="20"/>
      <c r="K391" s="21"/>
    </row>
    <row r="392" spans="1:11" x14ac:dyDescent="0.3">
      <c r="A392" s="17" t="s">
        <v>266</v>
      </c>
      <c r="B392" s="18"/>
      <c r="C392" s="3" t="s">
        <v>160</v>
      </c>
      <c r="D392" s="4" t="s">
        <v>18</v>
      </c>
      <c r="E392" s="5"/>
      <c r="F392" s="6"/>
      <c r="G392" s="6">
        <v>683280</v>
      </c>
      <c r="H392" s="19">
        <v>1044958</v>
      </c>
      <c r="I392" s="20"/>
      <c r="J392" s="20"/>
      <c r="K392" s="21"/>
    </row>
    <row r="393" spans="1:11" x14ac:dyDescent="0.3">
      <c r="A393" s="17" t="s">
        <v>266</v>
      </c>
      <c r="B393" s="18"/>
      <c r="C393" s="3" t="s">
        <v>271</v>
      </c>
      <c r="D393" s="4" t="s">
        <v>11</v>
      </c>
      <c r="E393" s="5"/>
      <c r="F393" s="6"/>
      <c r="G393" s="6">
        <v>85737</v>
      </c>
      <c r="H393" s="19">
        <v>361678</v>
      </c>
      <c r="I393" s="20"/>
      <c r="J393" s="20"/>
      <c r="K393" s="21"/>
    </row>
    <row r="394" spans="1:11" x14ac:dyDescent="0.3">
      <c r="A394" s="17" t="s">
        <v>266</v>
      </c>
      <c r="B394" s="18"/>
      <c r="C394" s="3" t="s">
        <v>272</v>
      </c>
      <c r="D394" s="4" t="s">
        <v>11</v>
      </c>
      <c r="E394" s="5"/>
      <c r="F394" s="6"/>
      <c r="G394" s="6">
        <v>68961</v>
      </c>
      <c r="H394" s="19">
        <v>275941</v>
      </c>
      <c r="I394" s="20"/>
      <c r="J394" s="20"/>
      <c r="K394" s="21"/>
    </row>
    <row r="395" spans="1:11" x14ac:dyDescent="0.3">
      <c r="A395" s="17" t="s">
        <v>266</v>
      </c>
      <c r="B395" s="18"/>
      <c r="C395" s="3" t="s">
        <v>273</v>
      </c>
      <c r="D395" s="4" t="s">
        <v>11</v>
      </c>
      <c r="E395" s="5"/>
      <c r="F395" s="6"/>
      <c r="G395" s="6">
        <v>16980</v>
      </c>
      <c r="H395" s="19">
        <v>206980</v>
      </c>
      <c r="I395" s="20"/>
      <c r="J395" s="20"/>
      <c r="K395" s="21"/>
    </row>
    <row r="396" spans="1:11" x14ac:dyDescent="0.3">
      <c r="A396" s="17" t="s">
        <v>266</v>
      </c>
      <c r="B396" s="18"/>
      <c r="C396" s="3" t="s">
        <v>39</v>
      </c>
      <c r="D396" s="4" t="s">
        <v>11</v>
      </c>
      <c r="E396" s="5"/>
      <c r="F396" s="6"/>
      <c r="G396" s="6">
        <v>190000</v>
      </c>
      <c r="H396" s="19">
        <v>190000</v>
      </c>
      <c r="I396" s="20"/>
      <c r="J396" s="20"/>
      <c r="K396" s="21"/>
    </row>
    <row r="397" spans="1:11" x14ac:dyDescent="0.3">
      <c r="A397" s="17" t="s">
        <v>274</v>
      </c>
      <c r="B397" s="18"/>
      <c r="C397" s="3" t="s">
        <v>48</v>
      </c>
      <c r="D397" s="4" t="s">
        <v>9</v>
      </c>
      <c r="E397" s="5"/>
      <c r="F397" s="6">
        <v>1189250</v>
      </c>
      <c r="G397" s="6"/>
      <c r="H397" s="19">
        <v>0</v>
      </c>
      <c r="I397" s="20"/>
      <c r="J397" s="20"/>
      <c r="K397" s="21"/>
    </row>
    <row r="398" spans="1:11" x14ac:dyDescent="0.3">
      <c r="A398" s="17" t="s">
        <v>274</v>
      </c>
      <c r="B398" s="18"/>
      <c r="C398" s="3" t="s">
        <v>275</v>
      </c>
      <c r="D398" s="4" t="s">
        <v>11</v>
      </c>
      <c r="E398" s="5"/>
      <c r="F398" s="6"/>
      <c r="G398" s="6">
        <v>271356</v>
      </c>
      <c r="H398" s="19">
        <v>1189250</v>
      </c>
      <c r="I398" s="20"/>
      <c r="J398" s="20"/>
      <c r="K398" s="21"/>
    </row>
    <row r="399" spans="1:11" x14ac:dyDescent="0.3">
      <c r="A399" s="17" t="s">
        <v>274</v>
      </c>
      <c r="B399" s="18"/>
      <c r="C399" s="3" t="s">
        <v>276</v>
      </c>
      <c r="D399" s="4" t="s">
        <v>11</v>
      </c>
      <c r="E399" s="5"/>
      <c r="F399" s="6"/>
      <c r="G399" s="6">
        <v>39971</v>
      </c>
      <c r="H399" s="19">
        <v>917894</v>
      </c>
      <c r="I399" s="20"/>
      <c r="J399" s="20"/>
      <c r="K399" s="21"/>
    </row>
    <row r="400" spans="1:11" x14ac:dyDescent="0.3">
      <c r="A400" s="17" t="s">
        <v>274</v>
      </c>
      <c r="B400" s="18"/>
      <c r="C400" s="3" t="s">
        <v>17</v>
      </c>
      <c r="D400" s="4" t="s">
        <v>18</v>
      </c>
      <c r="E400" s="5"/>
      <c r="F400" s="6"/>
      <c r="G400" s="6">
        <v>309552</v>
      </c>
      <c r="H400" s="19">
        <v>877923</v>
      </c>
      <c r="I400" s="20"/>
      <c r="J400" s="20"/>
      <c r="K400" s="21"/>
    </row>
    <row r="401" spans="1:12" x14ac:dyDescent="0.3">
      <c r="A401" s="17" t="s">
        <v>274</v>
      </c>
      <c r="B401" s="18"/>
      <c r="C401" s="3" t="s">
        <v>277</v>
      </c>
      <c r="D401" s="4" t="s">
        <v>11</v>
      </c>
      <c r="E401" s="5"/>
      <c r="F401" s="6"/>
      <c r="G401" s="6">
        <v>84151</v>
      </c>
      <c r="H401" s="19">
        <v>568371</v>
      </c>
      <c r="I401" s="20"/>
      <c r="J401" s="20"/>
      <c r="K401" s="21"/>
    </row>
    <row r="402" spans="1:12" x14ac:dyDescent="0.3">
      <c r="A402" s="17" t="s">
        <v>274</v>
      </c>
      <c r="B402" s="18"/>
      <c r="C402" s="3" t="s">
        <v>278</v>
      </c>
      <c r="D402" s="4" t="s">
        <v>11</v>
      </c>
      <c r="E402" s="5"/>
      <c r="F402" s="6"/>
      <c r="G402" s="6">
        <v>39466</v>
      </c>
      <c r="H402" s="19">
        <v>484220</v>
      </c>
      <c r="I402" s="20"/>
      <c r="J402" s="20"/>
      <c r="K402" s="21"/>
    </row>
    <row r="403" spans="1:12" x14ac:dyDescent="0.3">
      <c r="A403" s="17" t="s">
        <v>274</v>
      </c>
      <c r="B403" s="18"/>
      <c r="C403" s="3" t="s">
        <v>279</v>
      </c>
      <c r="D403" s="4" t="s">
        <v>11</v>
      </c>
      <c r="E403" s="5"/>
      <c r="F403" s="6"/>
      <c r="G403" s="6">
        <v>395544</v>
      </c>
      <c r="H403" s="19">
        <v>444754</v>
      </c>
      <c r="I403" s="20"/>
      <c r="J403" s="20"/>
      <c r="K403" s="21"/>
    </row>
    <row r="404" spans="1:12" x14ac:dyDescent="0.3">
      <c r="A404" s="17" t="s">
        <v>274</v>
      </c>
      <c r="B404" s="18"/>
      <c r="C404" s="3" t="s">
        <v>280</v>
      </c>
      <c r="D404" s="4" t="s">
        <v>11</v>
      </c>
      <c r="E404" s="5"/>
      <c r="F404" s="6"/>
      <c r="G404" s="6">
        <v>49210</v>
      </c>
      <c r="H404" s="19">
        <v>49210</v>
      </c>
      <c r="I404" s="20"/>
      <c r="J404" s="20"/>
      <c r="K404" s="21"/>
    </row>
    <row r="405" spans="1:12" x14ac:dyDescent="0.3">
      <c r="A405" s="17" t="s">
        <v>337</v>
      </c>
      <c r="B405" s="18"/>
      <c r="C405" s="3" t="s">
        <v>45</v>
      </c>
      <c r="D405" s="4" t="s">
        <v>18</v>
      </c>
      <c r="E405" s="5"/>
      <c r="F405" s="6"/>
      <c r="G405" s="6">
        <v>57239</v>
      </c>
      <c r="H405" s="19">
        <v>19633</v>
      </c>
      <c r="I405" s="20"/>
      <c r="J405" s="20"/>
      <c r="K405" s="21"/>
      <c r="L405" s="16"/>
    </row>
    <row r="406" spans="1:12" x14ac:dyDescent="0.3">
      <c r="A406" s="17" t="s">
        <v>337</v>
      </c>
      <c r="B406" s="18"/>
      <c r="C406" s="3" t="s">
        <v>338</v>
      </c>
      <c r="D406" s="4" t="s">
        <v>339</v>
      </c>
      <c r="E406" s="5" t="s">
        <v>340</v>
      </c>
      <c r="F406" s="6">
        <v>505294</v>
      </c>
      <c r="G406" s="6"/>
      <c r="H406" s="19">
        <v>-37606</v>
      </c>
      <c r="I406" s="20"/>
      <c r="J406" s="20"/>
      <c r="K406" s="21"/>
      <c r="L406" s="16"/>
    </row>
    <row r="407" spans="1:12" x14ac:dyDescent="0.3">
      <c r="A407" s="17" t="s">
        <v>337</v>
      </c>
      <c r="B407" s="18"/>
      <c r="C407" s="3" t="s">
        <v>51</v>
      </c>
      <c r="D407" s="4" t="s">
        <v>11</v>
      </c>
      <c r="E407" s="5"/>
      <c r="F407" s="6"/>
      <c r="G407" s="6">
        <v>500000</v>
      </c>
      <c r="H407" s="19">
        <v>467688</v>
      </c>
      <c r="I407" s="20"/>
      <c r="J407" s="20"/>
      <c r="K407" s="21"/>
      <c r="L407" s="16"/>
    </row>
    <row r="408" spans="1:12" x14ac:dyDescent="0.3">
      <c r="A408" s="17" t="s">
        <v>337</v>
      </c>
      <c r="B408" s="18"/>
      <c r="C408" s="3" t="s">
        <v>341</v>
      </c>
      <c r="D408" s="4" t="s">
        <v>11</v>
      </c>
      <c r="E408" s="5"/>
      <c r="F408" s="6"/>
      <c r="G408" s="6">
        <v>97180</v>
      </c>
      <c r="H408" s="19">
        <v>-32312</v>
      </c>
      <c r="I408" s="20"/>
      <c r="J408" s="20"/>
      <c r="K408" s="21"/>
      <c r="L408" s="16"/>
    </row>
    <row r="409" spans="1:12" x14ac:dyDescent="0.3">
      <c r="A409" s="17" t="s">
        <v>337</v>
      </c>
      <c r="B409" s="18"/>
      <c r="C409" s="3" t="s">
        <v>17</v>
      </c>
      <c r="D409" s="4" t="s">
        <v>18</v>
      </c>
      <c r="E409" s="5"/>
      <c r="F409" s="6"/>
      <c r="G409" s="6">
        <v>129063</v>
      </c>
      <c r="H409" s="19">
        <v>-129492</v>
      </c>
      <c r="I409" s="20"/>
      <c r="J409" s="20"/>
      <c r="K409" s="21"/>
      <c r="L409" s="16"/>
    </row>
    <row r="410" spans="1:12" x14ac:dyDescent="0.3">
      <c r="A410" s="17" t="s">
        <v>337</v>
      </c>
      <c r="B410" s="18"/>
      <c r="C410" s="3" t="s">
        <v>257</v>
      </c>
      <c r="D410" s="4" t="s">
        <v>11</v>
      </c>
      <c r="E410" s="5"/>
      <c r="F410" s="6">
        <v>160000</v>
      </c>
      <c r="G410" s="6"/>
      <c r="H410" s="19">
        <v>-258555</v>
      </c>
      <c r="I410" s="20"/>
      <c r="J410" s="20"/>
      <c r="K410" s="21"/>
      <c r="L410" s="16"/>
    </row>
    <row r="411" spans="1:12" x14ac:dyDescent="0.3">
      <c r="A411" s="17" t="s">
        <v>337</v>
      </c>
      <c r="B411" s="18"/>
      <c r="C411" s="3" t="s">
        <v>16</v>
      </c>
      <c r="D411" s="4" t="s">
        <v>11</v>
      </c>
      <c r="E411" s="5"/>
      <c r="F411" s="6">
        <v>297500</v>
      </c>
      <c r="G411" s="6"/>
      <c r="H411" s="19">
        <v>-98555</v>
      </c>
      <c r="I411" s="20"/>
      <c r="J411" s="20"/>
      <c r="K411" s="21"/>
      <c r="L411" s="16"/>
    </row>
    <row r="412" spans="1:12" x14ac:dyDescent="0.3">
      <c r="A412" s="17" t="s">
        <v>342</v>
      </c>
      <c r="B412" s="18"/>
      <c r="C412" s="3" t="s">
        <v>343</v>
      </c>
      <c r="D412" s="4" t="s">
        <v>18</v>
      </c>
      <c r="E412" s="5"/>
      <c r="F412" s="6">
        <v>32000</v>
      </c>
      <c r="G412" s="6"/>
      <c r="H412" s="19">
        <v>198945</v>
      </c>
      <c r="I412" s="20"/>
      <c r="J412" s="20"/>
      <c r="K412" s="21"/>
      <c r="L412" s="16"/>
    </row>
    <row r="413" spans="1:12" x14ac:dyDescent="0.3">
      <c r="A413" s="17" t="s">
        <v>342</v>
      </c>
      <c r="B413" s="18"/>
      <c r="C413" s="3" t="s">
        <v>10</v>
      </c>
      <c r="D413" s="4" t="s">
        <v>11</v>
      </c>
      <c r="E413" s="5"/>
      <c r="F413" s="6"/>
      <c r="G413" s="6">
        <v>54559</v>
      </c>
      <c r="H413" s="19">
        <v>230945</v>
      </c>
      <c r="I413" s="20"/>
      <c r="J413" s="20"/>
      <c r="K413" s="21"/>
      <c r="L413" s="16"/>
    </row>
    <row r="414" spans="1:12" x14ac:dyDescent="0.3">
      <c r="A414" s="17" t="s">
        <v>342</v>
      </c>
      <c r="B414" s="18"/>
      <c r="C414" s="3" t="s">
        <v>19</v>
      </c>
      <c r="D414" s="4" t="s">
        <v>18</v>
      </c>
      <c r="E414" s="5"/>
      <c r="F414" s="6">
        <v>2975907</v>
      </c>
      <c r="G414" s="6"/>
      <c r="H414" s="19">
        <v>176386</v>
      </c>
      <c r="I414" s="20"/>
      <c r="J414" s="20"/>
      <c r="K414" s="21"/>
      <c r="L414" s="16"/>
    </row>
    <row r="415" spans="1:12" x14ac:dyDescent="0.3">
      <c r="A415" s="17" t="s">
        <v>342</v>
      </c>
      <c r="B415" s="18"/>
      <c r="C415" s="3" t="s">
        <v>344</v>
      </c>
      <c r="D415" s="4" t="s">
        <v>11</v>
      </c>
      <c r="E415" s="5"/>
      <c r="F415" s="6"/>
      <c r="G415" s="6">
        <v>71019</v>
      </c>
      <c r="H415" s="19">
        <v>3152293</v>
      </c>
      <c r="I415" s="20"/>
      <c r="J415" s="20"/>
      <c r="K415" s="21"/>
      <c r="L415" s="16"/>
    </row>
    <row r="416" spans="1:12" x14ac:dyDescent="0.3">
      <c r="A416" s="17" t="s">
        <v>342</v>
      </c>
      <c r="B416" s="18"/>
      <c r="C416" s="3" t="s">
        <v>61</v>
      </c>
      <c r="D416" s="4" t="s">
        <v>11</v>
      </c>
      <c r="E416" s="5"/>
      <c r="F416" s="6"/>
      <c r="G416" s="6">
        <v>78540</v>
      </c>
      <c r="H416" s="19">
        <v>3081274</v>
      </c>
      <c r="I416" s="20"/>
      <c r="J416" s="20"/>
      <c r="K416" s="21"/>
      <c r="L416" s="16"/>
    </row>
    <row r="417" spans="1:12" x14ac:dyDescent="0.3">
      <c r="A417" s="17" t="s">
        <v>342</v>
      </c>
      <c r="B417" s="18"/>
      <c r="C417" s="3" t="s">
        <v>345</v>
      </c>
      <c r="D417" s="4" t="s">
        <v>11</v>
      </c>
      <c r="E417" s="5"/>
      <c r="F417" s="6"/>
      <c r="G417" s="6">
        <v>189805</v>
      </c>
      <c r="H417" s="19">
        <v>3002734</v>
      </c>
      <c r="I417" s="20"/>
      <c r="J417" s="20"/>
      <c r="K417" s="21"/>
      <c r="L417" s="16"/>
    </row>
    <row r="418" spans="1:12" x14ac:dyDescent="0.3">
      <c r="A418" s="17" t="s">
        <v>342</v>
      </c>
      <c r="B418" s="18"/>
      <c r="C418" s="3" t="s">
        <v>17</v>
      </c>
      <c r="D418" s="4" t="s">
        <v>18</v>
      </c>
      <c r="E418" s="5"/>
      <c r="F418" s="6"/>
      <c r="G418" s="6">
        <v>17690</v>
      </c>
      <c r="H418" s="19">
        <v>2812929</v>
      </c>
      <c r="I418" s="20"/>
      <c r="J418" s="20"/>
      <c r="K418" s="21"/>
      <c r="L418" s="16"/>
    </row>
    <row r="419" spans="1:12" x14ac:dyDescent="0.3">
      <c r="A419" s="17" t="s">
        <v>342</v>
      </c>
      <c r="B419" s="18"/>
      <c r="C419" s="3" t="s">
        <v>346</v>
      </c>
      <c r="D419" s="4" t="s">
        <v>11</v>
      </c>
      <c r="E419" s="5"/>
      <c r="F419" s="6"/>
      <c r="G419" s="6">
        <v>53845</v>
      </c>
      <c r="H419" s="19">
        <v>2795239</v>
      </c>
      <c r="I419" s="20"/>
      <c r="J419" s="20"/>
      <c r="K419" s="21"/>
      <c r="L419" s="16"/>
    </row>
    <row r="420" spans="1:12" x14ac:dyDescent="0.3">
      <c r="A420" s="17" t="s">
        <v>342</v>
      </c>
      <c r="B420" s="18"/>
      <c r="C420" s="3" t="s">
        <v>27</v>
      </c>
      <c r="D420" s="4" t="s">
        <v>18</v>
      </c>
      <c r="E420" s="5"/>
      <c r="F420" s="6">
        <v>400000</v>
      </c>
      <c r="G420" s="6"/>
      <c r="H420" s="19">
        <v>2741394</v>
      </c>
      <c r="I420" s="20"/>
      <c r="J420" s="20"/>
      <c r="K420" s="21"/>
      <c r="L420" s="16"/>
    </row>
    <row r="421" spans="1:12" x14ac:dyDescent="0.3">
      <c r="A421" s="17" t="s">
        <v>342</v>
      </c>
      <c r="B421" s="18"/>
      <c r="C421" s="3" t="s">
        <v>347</v>
      </c>
      <c r="D421" s="4" t="s">
        <v>18</v>
      </c>
      <c r="E421" s="5"/>
      <c r="F421" s="6">
        <v>12815128</v>
      </c>
      <c r="G421" s="6"/>
      <c r="H421" s="19">
        <v>3141394</v>
      </c>
      <c r="I421" s="20"/>
      <c r="J421" s="20"/>
      <c r="K421" s="21"/>
      <c r="L421" s="16"/>
    </row>
    <row r="422" spans="1:12" x14ac:dyDescent="0.3">
      <c r="A422" s="17" t="s">
        <v>342</v>
      </c>
      <c r="B422" s="18"/>
      <c r="C422" s="3" t="s">
        <v>22</v>
      </c>
      <c r="D422" s="4" t="s">
        <v>18</v>
      </c>
      <c r="E422" s="5"/>
      <c r="F422" s="6">
        <v>8059</v>
      </c>
      <c r="G422" s="6"/>
      <c r="H422" s="19">
        <v>15956522</v>
      </c>
      <c r="I422" s="20"/>
      <c r="J422" s="20"/>
      <c r="K422" s="21"/>
      <c r="L422" s="16"/>
    </row>
    <row r="423" spans="1:12" x14ac:dyDescent="0.3">
      <c r="A423" s="17" t="s">
        <v>342</v>
      </c>
      <c r="B423" s="18"/>
      <c r="C423" s="3" t="s">
        <v>348</v>
      </c>
      <c r="D423" s="4" t="s">
        <v>11</v>
      </c>
      <c r="E423" s="5"/>
      <c r="F423" s="6"/>
      <c r="G423" s="6">
        <v>121247</v>
      </c>
      <c r="H423" s="19">
        <v>15964581</v>
      </c>
      <c r="I423" s="20"/>
      <c r="J423" s="20"/>
      <c r="K423" s="21"/>
      <c r="L423" s="16"/>
    </row>
    <row r="424" spans="1:12" x14ac:dyDescent="0.3">
      <c r="A424" s="17" t="s">
        <v>342</v>
      </c>
      <c r="B424" s="18"/>
      <c r="C424" s="3" t="s">
        <v>349</v>
      </c>
      <c r="D424" s="4" t="s">
        <v>11</v>
      </c>
      <c r="E424" s="5"/>
      <c r="F424" s="6">
        <v>170170</v>
      </c>
      <c r="G424" s="6"/>
      <c r="H424" s="19">
        <v>15843334</v>
      </c>
      <c r="I424" s="20"/>
      <c r="J424" s="20"/>
      <c r="K424" s="21"/>
      <c r="L424" s="16"/>
    </row>
    <row r="425" spans="1:12" x14ac:dyDescent="0.3">
      <c r="A425" s="17" t="s">
        <v>350</v>
      </c>
      <c r="B425" s="18"/>
      <c r="C425" s="3" t="s">
        <v>351</v>
      </c>
      <c r="D425" s="4" t="s">
        <v>11</v>
      </c>
      <c r="E425" s="5"/>
      <c r="F425" s="6"/>
      <c r="G425" s="6">
        <v>69532</v>
      </c>
      <c r="H425" s="19">
        <v>16013504</v>
      </c>
      <c r="I425" s="20"/>
      <c r="J425" s="20"/>
      <c r="K425" s="21"/>
      <c r="L425" s="16"/>
    </row>
    <row r="426" spans="1:12" x14ac:dyDescent="0.3">
      <c r="A426" s="17" t="s">
        <v>350</v>
      </c>
      <c r="B426" s="18"/>
      <c r="C426" s="3" t="s">
        <v>338</v>
      </c>
      <c r="D426" s="4" t="s">
        <v>352</v>
      </c>
      <c r="E426" s="5" t="s">
        <v>353</v>
      </c>
      <c r="F426" s="6">
        <v>217427</v>
      </c>
      <c r="G426" s="6"/>
      <c r="H426" s="19">
        <v>15943972</v>
      </c>
      <c r="I426" s="20"/>
      <c r="J426" s="20"/>
      <c r="K426" s="21"/>
      <c r="L426" s="16"/>
    </row>
    <row r="427" spans="1:12" x14ac:dyDescent="0.3">
      <c r="A427" s="17" t="s">
        <v>350</v>
      </c>
      <c r="B427" s="18"/>
      <c r="C427" s="3" t="s">
        <v>354</v>
      </c>
      <c r="D427" s="4" t="s">
        <v>11</v>
      </c>
      <c r="E427" s="5"/>
      <c r="F427" s="6"/>
      <c r="G427" s="6">
        <v>223720</v>
      </c>
      <c r="H427" s="19">
        <v>16161399</v>
      </c>
      <c r="I427" s="20"/>
      <c r="J427" s="20"/>
      <c r="K427" s="21"/>
      <c r="L427" s="16"/>
    </row>
    <row r="428" spans="1:12" x14ac:dyDescent="0.3">
      <c r="A428" s="17" t="s">
        <v>350</v>
      </c>
      <c r="B428" s="18"/>
      <c r="C428" s="3" t="s">
        <v>354</v>
      </c>
      <c r="D428" s="4" t="s">
        <v>11</v>
      </c>
      <c r="E428" s="5"/>
      <c r="F428" s="6"/>
      <c r="G428" s="6">
        <v>93490</v>
      </c>
      <c r="H428" s="19">
        <v>15937679</v>
      </c>
      <c r="I428" s="20"/>
      <c r="J428" s="20"/>
      <c r="K428" s="21"/>
      <c r="L428" s="16"/>
    </row>
    <row r="429" spans="1:12" x14ac:dyDescent="0.3">
      <c r="A429" s="17" t="s">
        <v>350</v>
      </c>
      <c r="B429" s="18"/>
      <c r="C429" s="3" t="s">
        <v>355</v>
      </c>
      <c r="D429" s="4" t="s">
        <v>11</v>
      </c>
      <c r="E429" s="5"/>
      <c r="F429" s="6"/>
      <c r="G429" s="6">
        <v>137970</v>
      </c>
      <c r="H429" s="19">
        <v>15844189</v>
      </c>
      <c r="I429" s="20"/>
      <c r="J429" s="20"/>
      <c r="K429" s="21"/>
      <c r="L429" s="16"/>
    </row>
    <row r="430" spans="1:12" x14ac:dyDescent="0.3">
      <c r="A430" s="17" t="s">
        <v>350</v>
      </c>
      <c r="B430" s="18"/>
      <c r="C430" s="3" t="s">
        <v>122</v>
      </c>
      <c r="D430" s="4" t="s">
        <v>11</v>
      </c>
      <c r="E430" s="5"/>
      <c r="F430" s="6"/>
      <c r="G430" s="6">
        <v>21980</v>
      </c>
      <c r="H430" s="19">
        <v>15706219</v>
      </c>
      <c r="I430" s="20"/>
      <c r="J430" s="20"/>
      <c r="K430" s="21"/>
      <c r="L430" s="16"/>
    </row>
    <row r="431" spans="1:12" x14ac:dyDescent="0.3">
      <c r="A431" s="17" t="s">
        <v>350</v>
      </c>
      <c r="B431" s="18"/>
      <c r="C431" s="3" t="s">
        <v>17</v>
      </c>
      <c r="D431" s="4" t="s">
        <v>18</v>
      </c>
      <c r="E431" s="5"/>
      <c r="F431" s="6"/>
      <c r="G431" s="6">
        <v>53040</v>
      </c>
      <c r="H431" s="19">
        <v>15684239</v>
      </c>
      <c r="I431" s="20"/>
      <c r="J431" s="20"/>
      <c r="K431" s="21"/>
      <c r="L431" s="16"/>
    </row>
    <row r="432" spans="1:12" x14ac:dyDescent="0.3">
      <c r="A432" s="17" t="s">
        <v>350</v>
      </c>
      <c r="B432" s="18"/>
      <c r="C432" s="3" t="s">
        <v>99</v>
      </c>
      <c r="D432" s="4" t="s">
        <v>11</v>
      </c>
      <c r="E432" s="5"/>
      <c r="F432" s="6"/>
      <c r="G432" s="6">
        <v>52271</v>
      </c>
      <c r="H432" s="19">
        <v>15631199</v>
      </c>
      <c r="I432" s="20"/>
      <c r="J432" s="20"/>
      <c r="K432" s="21"/>
      <c r="L432" s="16"/>
    </row>
    <row r="433" spans="1:12" x14ac:dyDescent="0.3">
      <c r="A433" s="17" t="s">
        <v>350</v>
      </c>
      <c r="B433" s="18"/>
      <c r="C433" s="3" t="s">
        <v>61</v>
      </c>
      <c r="D433" s="4" t="s">
        <v>11</v>
      </c>
      <c r="E433" s="5"/>
      <c r="F433" s="6"/>
      <c r="G433" s="6">
        <v>55950</v>
      </c>
      <c r="H433" s="19">
        <v>15578928</v>
      </c>
      <c r="I433" s="20"/>
      <c r="J433" s="20"/>
      <c r="K433" s="21"/>
      <c r="L433" s="16"/>
    </row>
    <row r="434" spans="1:12" x14ac:dyDescent="0.3">
      <c r="A434" s="17" t="s">
        <v>356</v>
      </c>
      <c r="B434" s="18"/>
      <c r="C434" s="3" t="s">
        <v>49</v>
      </c>
      <c r="D434" s="4" t="s">
        <v>18</v>
      </c>
      <c r="E434" s="5"/>
      <c r="F434" s="6"/>
      <c r="G434" s="6">
        <v>11181345</v>
      </c>
      <c r="H434" s="19">
        <v>15522978</v>
      </c>
      <c r="I434" s="20"/>
      <c r="J434" s="20"/>
      <c r="K434" s="21"/>
      <c r="L434" s="16"/>
    </row>
    <row r="435" spans="1:12" x14ac:dyDescent="0.3">
      <c r="A435" s="17" t="s">
        <v>356</v>
      </c>
      <c r="B435" s="18"/>
      <c r="C435" s="3" t="s">
        <v>357</v>
      </c>
      <c r="D435" s="4" t="s">
        <v>11</v>
      </c>
      <c r="E435" s="5"/>
      <c r="F435" s="6"/>
      <c r="G435" s="6">
        <v>111546</v>
      </c>
      <c r="H435" s="19">
        <v>4341633</v>
      </c>
      <c r="I435" s="20"/>
      <c r="J435" s="20"/>
      <c r="K435" s="21"/>
      <c r="L435" s="16"/>
    </row>
    <row r="436" spans="1:12" x14ac:dyDescent="0.3">
      <c r="A436" s="17" t="s">
        <v>356</v>
      </c>
      <c r="B436" s="18"/>
      <c r="C436" s="3" t="s">
        <v>358</v>
      </c>
      <c r="D436" s="4" t="s">
        <v>11</v>
      </c>
      <c r="E436" s="5"/>
      <c r="F436" s="6"/>
      <c r="G436" s="6">
        <v>250000</v>
      </c>
      <c r="H436" s="19">
        <v>4230087</v>
      </c>
      <c r="I436" s="20"/>
      <c r="J436" s="20"/>
      <c r="K436" s="21"/>
      <c r="L436" s="16"/>
    </row>
    <row r="437" spans="1:12" x14ac:dyDescent="0.3">
      <c r="A437" s="17" t="s">
        <v>356</v>
      </c>
      <c r="B437" s="18"/>
      <c r="C437" s="3" t="s">
        <v>359</v>
      </c>
      <c r="D437" s="4" t="s">
        <v>11</v>
      </c>
      <c r="E437" s="5"/>
      <c r="F437" s="6"/>
      <c r="G437" s="6">
        <v>37973</v>
      </c>
      <c r="H437" s="19">
        <v>3980087</v>
      </c>
      <c r="I437" s="20"/>
      <c r="J437" s="20"/>
      <c r="K437" s="21"/>
      <c r="L437" s="16"/>
    </row>
    <row r="438" spans="1:12" x14ac:dyDescent="0.3">
      <c r="A438" s="17" t="s">
        <v>356</v>
      </c>
      <c r="B438" s="18"/>
      <c r="C438" s="3" t="s">
        <v>39</v>
      </c>
      <c r="D438" s="4" t="s">
        <v>11</v>
      </c>
      <c r="E438" s="5"/>
      <c r="F438" s="6"/>
      <c r="G438" s="6">
        <v>380750</v>
      </c>
      <c r="H438" s="19">
        <v>3942114</v>
      </c>
      <c r="I438" s="20"/>
      <c r="J438" s="20"/>
      <c r="K438" s="21"/>
      <c r="L438" s="16"/>
    </row>
    <row r="439" spans="1:12" x14ac:dyDescent="0.3">
      <c r="A439" s="17" t="s">
        <v>356</v>
      </c>
      <c r="B439" s="18"/>
      <c r="C439" s="3" t="s">
        <v>360</v>
      </c>
      <c r="D439" s="4" t="s">
        <v>11</v>
      </c>
      <c r="E439" s="5"/>
      <c r="F439" s="6"/>
      <c r="G439" s="6">
        <v>58950</v>
      </c>
      <c r="H439" s="19">
        <v>3561364</v>
      </c>
      <c r="I439" s="20"/>
      <c r="J439" s="20"/>
      <c r="K439" s="21"/>
      <c r="L439" s="16"/>
    </row>
    <row r="440" spans="1:12" x14ac:dyDescent="0.3">
      <c r="A440" s="17" t="s">
        <v>356</v>
      </c>
      <c r="B440" s="18"/>
      <c r="C440" s="3" t="s">
        <v>361</v>
      </c>
      <c r="D440" s="4" t="s">
        <v>11</v>
      </c>
      <c r="E440" s="5"/>
      <c r="F440" s="6">
        <v>34510</v>
      </c>
      <c r="G440" s="6"/>
      <c r="H440" s="19">
        <v>3502414</v>
      </c>
      <c r="I440" s="20"/>
      <c r="J440" s="20"/>
      <c r="K440" s="21"/>
      <c r="L440" s="16"/>
    </row>
    <row r="441" spans="1:12" x14ac:dyDescent="0.3">
      <c r="A441" s="17" t="s">
        <v>356</v>
      </c>
      <c r="B441" s="18"/>
      <c r="C441" s="3" t="s">
        <v>362</v>
      </c>
      <c r="D441" s="4" t="s">
        <v>11</v>
      </c>
      <c r="E441" s="5"/>
      <c r="F441" s="6"/>
      <c r="G441" s="6">
        <v>23980</v>
      </c>
      <c r="H441" s="19">
        <v>3536924</v>
      </c>
      <c r="I441" s="20"/>
      <c r="J441" s="20"/>
      <c r="K441" s="21"/>
      <c r="L441" s="16"/>
    </row>
    <row r="442" spans="1:12" x14ac:dyDescent="0.3">
      <c r="A442" s="17" t="s">
        <v>356</v>
      </c>
      <c r="B442" s="18"/>
      <c r="C442" s="3" t="s">
        <v>363</v>
      </c>
      <c r="D442" s="4" t="s">
        <v>11</v>
      </c>
      <c r="E442" s="5"/>
      <c r="F442" s="6"/>
      <c r="G442" s="6">
        <v>75771</v>
      </c>
      <c r="H442" s="19">
        <v>3512944</v>
      </c>
      <c r="I442" s="20"/>
      <c r="J442" s="20"/>
      <c r="K442" s="21"/>
      <c r="L442" s="16"/>
    </row>
    <row r="443" spans="1:12" x14ac:dyDescent="0.3">
      <c r="A443" s="17" t="s">
        <v>356</v>
      </c>
      <c r="B443" s="18"/>
      <c r="C443" s="3" t="s">
        <v>364</v>
      </c>
      <c r="D443" s="4" t="s">
        <v>11</v>
      </c>
      <c r="E443" s="5"/>
      <c r="F443" s="6"/>
      <c r="G443" s="6">
        <v>26073</v>
      </c>
      <c r="H443" s="19">
        <v>3437173</v>
      </c>
      <c r="I443" s="20"/>
      <c r="J443" s="20"/>
      <c r="K443" s="21"/>
      <c r="L443" s="16"/>
    </row>
    <row r="444" spans="1:12" x14ac:dyDescent="0.3">
      <c r="A444" s="17" t="s">
        <v>356</v>
      </c>
      <c r="B444" s="18"/>
      <c r="C444" s="3" t="s">
        <v>365</v>
      </c>
      <c r="D444" s="4" t="s">
        <v>11</v>
      </c>
      <c r="E444" s="5"/>
      <c r="F444" s="6"/>
      <c r="G444" s="6">
        <v>119938</v>
      </c>
      <c r="H444" s="19">
        <v>3411100</v>
      </c>
      <c r="I444" s="20"/>
      <c r="J444" s="20"/>
      <c r="K444" s="21"/>
      <c r="L444" s="16"/>
    </row>
    <row r="445" spans="1:12" x14ac:dyDescent="0.3">
      <c r="A445" s="17" t="s">
        <v>356</v>
      </c>
      <c r="B445" s="18"/>
      <c r="C445" s="3" t="s">
        <v>366</v>
      </c>
      <c r="D445" s="4" t="s">
        <v>11</v>
      </c>
      <c r="E445" s="5"/>
      <c r="F445" s="6"/>
      <c r="G445" s="6">
        <v>31570</v>
      </c>
      <c r="H445" s="19">
        <v>3291162</v>
      </c>
      <c r="I445" s="20"/>
      <c r="J445" s="20"/>
      <c r="K445" s="21"/>
      <c r="L445" s="16"/>
    </row>
    <row r="446" spans="1:12" x14ac:dyDescent="0.3">
      <c r="A446" s="17" t="s">
        <v>356</v>
      </c>
      <c r="B446" s="18"/>
      <c r="C446" s="3" t="s">
        <v>63</v>
      </c>
      <c r="D446" s="4" t="s">
        <v>11</v>
      </c>
      <c r="E446" s="5"/>
      <c r="F446" s="6"/>
      <c r="G446" s="6">
        <v>107029</v>
      </c>
      <c r="H446" s="19">
        <v>3259592</v>
      </c>
      <c r="I446" s="20"/>
      <c r="J446" s="20"/>
      <c r="K446" s="21"/>
      <c r="L446" s="16"/>
    </row>
    <row r="447" spans="1:12" x14ac:dyDescent="0.3">
      <c r="A447" s="17" t="s">
        <v>367</v>
      </c>
      <c r="B447" s="18"/>
      <c r="C447" s="3" t="s">
        <v>59</v>
      </c>
      <c r="D447" s="4" t="s">
        <v>11</v>
      </c>
      <c r="E447" s="5"/>
      <c r="F447" s="6">
        <v>1499469</v>
      </c>
      <c r="G447" s="6"/>
      <c r="H447" s="19">
        <v>3152563</v>
      </c>
      <c r="I447" s="20"/>
      <c r="J447" s="20"/>
      <c r="K447" s="21"/>
      <c r="L447" s="16"/>
    </row>
    <row r="448" spans="1:12" x14ac:dyDescent="0.3">
      <c r="A448" s="17" t="s">
        <v>367</v>
      </c>
      <c r="B448" s="18"/>
      <c r="C448" s="3" t="s">
        <v>368</v>
      </c>
      <c r="D448" s="4" t="s">
        <v>11</v>
      </c>
      <c r="E448" s="5"/>
      <c r="F448" s="6"/>
      <c r="G448" s="6">
        <v>95750</v>
      </c>
      <c r="H448" s="19">
        <v>4652032</v>
      </c>
      <c r="I448" s="20"/>
      <c r="J448" s="20"/>
      <c r="K448" s="21"/>
      <c r="L448" s="16"/>
    </row>
    <row r="449" spans="1:12" x14ac:dyDescent="0.3">
      <c r="A449" s="17" t="s">
        <v>367</v>
      </c>
      <c r="B449" s="18"/>
      <c r="C449" s="3" t="s">
        <v>369</v>
      </c>
      <c r="D449" s="4" t="s">
        <v>11</v>
      </c>
      <c r="E449" s="5"/>
      <c r="F449" s="6"/>
      <c r="G449" s="6">
        <v>84348</v>
      </c>
      <c r="H449" s="19">
        <v>4556282</v>
      </c>
      <c r="I449" s="20"/>
      <c r="J449" s="20"/>
      <c r="K449" s="21"/>
      <c r="L449" s="16"/>
    </row>
    <row r="450" spans="1:12" x14ac:dyDescent="0.3">
      <c r="A450" s="17" t="s">
        <v>367</v>
      </c>
      <c r="B450" s="18"/>
      <c r="C450" s="3" t="s">
        <v>17</v>
      </c>
      <c r="D450" s="4" t="s">
        <v>18</v>
      </c>
      <c r="E450" s="5"/>
      <c r="F450" s="6"/>
      <c r="G450" s="6">
        <v>69698</v>
      </c>
      <c r="H450" s="19">
        <v>4471934</v>
      </c>
      <c r="I450" s="20"/>
      <c r="J450" s="20"/>
      <c r="K450" s="21"/>
      <c r="L450" s="16"/>
    </row>
    <row r="451" spans="1:12" x14ac:dyDescent="0.3">
      <c r="A451" s="17" t="s">
        <v>367</v>
      </c>
      <c r="B451" s="18"/>
      <c r="C451" s="3" t="s">
        <v>138</v>
      </c>
      <c r="D451" s="4" t="s">
        <v>11</v>
      </c>
      <c r="E451" s="5"/>
      <c r="F451" s="6">
        <v>298096</v>
      </c>
      <c r="G451" s="6"/>
      <c r="H451" s="19">
        <v>4402236</v>
      </c>
      <c r="I451" s="20"/>
      <c r="J451" s="20"/>
      <c r="K451" s="21"/>
      <c r="L451" s="16"/>
    </row>
    <row r="452" spans="1:12" x14ac:dyDescent="0.3">
      <c r="A452" s="17" t="s">
        <v>367</v>
      </c>
      <c r="B452" s="18"/>
      <c r="C452" s="3" t="s">
        <v>126</v>
      </c>
      <c r="D452" s="4" t="s">
        <v>11</v>
      </c>
      <c r="E452" s="5"/>
      <c r="F452" s="6">
        <v>23205</v>
      </c>
      <c r="G452" s="6"/>
      <c r="H452" s="19">
        <v>4700332</v>
      </c>
      <c r="I452" s="20"/>
      <c r="J452" s="20"/>
      <c r="K452" s="21"/>
      <c r="L452" s="16"/>
    </row>
    <row r="453" spans="1:12" x14ac:dyDescent="0.3">
      <c r="A453" s="17" t="s">
        <v>367</v>
      </c>
      <c r="B453" s="18"/>
      <c r="C453" s="3" t="s">
        <v>30</v>
      </c>
      <c r="D453" s="4" t="s">
        <v>11</v>
      </c>
      <c r="E453" s="5"/>
      <c r="F453" s="6"/>
      <c r="G453" s="6">
        <v>1517608</v>
      </c>
      <c r="H453" s="19">
        <v>4723537</v>
      </c>
      <c r="I453" s="20"/>
      <c r="J453" s="20"/>
      <c r="K453" s="21"/>
      <c r="L453" s="16"/>
    </row>
    <row r="454" spans="1:12" x14ac:dyDescent="0.3">
      <c r="A454" s="17" t="s">
        <v>367</v>
      </c>
      <c r="B454" s="18"/>
      <c r="C454" s="3" t="s">
        <v>209</v>
      </c>
      <c r="D454" s="4" t="s">
        <v>11</v>
      </c>
      <c r="E454" s="5"/>
      <c r="F454" s="6"/>
      <c r="G454" s="6">
        <v>86380</v>
      </c>
      <c r="H454" s="19">
        <v>3205929</v>
      </c>
      <c r="I454" s="20"/>
      <c r="J454" s="20"/>
      <c r="K454" s="21"/>
      <c r="L454" s="16"/>
    </row>
    <row r="455" spans="1:12" x14ac:dyDescent="0.3">
      <c r="A455" s="17" t="s">
        <v>367</v>
      </c>
      <c r="B455" s="18"/>
      <c r="C455" s="3" t="s">
        <v>370</v>
      </c>
      <c r="D455" s="4" t="s">
        <v>11</v>
      </c>
      <c r="E455" s="5"/>
      <c r="F455" s="6"/>
      <c r="G455" s="6">
        <v>119962</v>
      </c>
      <c r="H455" s="19">
        <v>3119549</v>
      </c>
      <c r="I455" s="20"/>
      <c r="J455" s="20"/>
      <c r="K455" s="21"/>
      <c r="L455" s="16"/>
    </row>
    <row r="456" spans="1:12" x14ac:dyDescent="0.3">
      <c r="A456" s="17" t="s">
        <v>367</v>
      </c>
      <c r="B456" s="18"/>
      <c r="C456" s="3" t="s">
        <v>250</v>
      </c>
      <c r="D456" s="4" t="s">
        <v>11</v>
      </c>
      <c r="E456" s="5"/>
      <c r="F456" s="6"/>
      <c r="G456" s="6">
        <v>181151</v>
      </c>
      <c r="H456" s="19">
        <v>2999587</v>
      </c>
      <c r="I456" s="20"/>
      <c r="J456" s="20"/>
      <c r="K456" s="21"/>
      <c r="L456" s="16"/>
    </row>
    <row r="457" spans="1:12" x14ac:dyDescent="0.3">
      <c r="A457" s="17" t="s">
        <v>367</v>
      </c>
      <c r="B457" s="18"/>
      <c r="C457" s="3" t="s">
        <v>271</v>
      </c>
      <c r="D457" s="4" t="s">
        <v>11</v>
      </c>
      <c r="E457" s="5"/>
      <c r="F457" s="6"/>
      <c r="G457" s="6">
        <v>65431</v>
      </c>
      <c r="H457" s="19">
        <v>2818436</v>
      </c>
      <c r="I457" s="20"/>
      <c r="J457" s="20"/>
      <c r="K457" s="21"/>
      <c r="L457" s="16"/>
    </row>
    <row r="458" spans="1:12" x14ac:dyDescent="0.3">
      <c r="A458" s="17" t="s">
        <v>371</v>
      </c>
      <c r="B458" s="18"/>
      <c r="C458" s="3" t="s">
        <v>86</v>
      </c>
      <c r="D458" s="4" t="s">
        <v>18</v>
      </c>
      <c r="E458" s="5"/>
      <c r="F458" s="6">
        <v>15386</v>
      </c>
      <c r="G458" s="6"/>
      <c r="H458" s="19">
        <v>2753005</v>
      </c>
      <c r="I458" s="20"/>
      <c r="J458" s="20"/>
      <c r="K458" s="21"/>
      <c r="L458" s="16"/>
    </row>
    <row r="459" spans="1:12" x14ac:dyDescent="0.3">
      <c r="A459" s="17" t="s">
        <v>371</v>
      </c>
      <c r="B459" s="18"/>
      <c r="C459" s="3" t="s">
        <v>19</v>
      </c>
      <c r="D459" s="4" t="s">
        <v>18</v>
      </c>
      <c r="E459" s="5"/>
      <c r="F459" s="6">
        <v>1122156</v>
      </c>
      <c r="G459" s="6"/>
      <c r="H459" s="19">
        <v>2768391</v>
      </c>
      <c r="I459" s="20"/>
      <c r="J459" s="20"/>
      <c r="K459" s="21"/>
      <c r="L459" s="16"/>
    </row>
    <row r="460" spans="1:12" x14ac:dyDescent="0.3">
      <c r="A460" s="17" t="s">
        <v>371</v>
      </c>
      <c r="B460" s="18"/>
      <c r="C460" s="3" t="s">
        <v>135</v>
      </c>
      <c r="D460" s="4" t="s">
        <v>18</v>
      </c>
      <c r="E460" s="5"/>
      <c r="F460" s="6"/>
      <c r="G460" s="6">
        <v>75953</v>
      </c>
      <c r="H460" s="19">
        <v>3890547</v>
      </c>
      <c r="I460" s="20"/>
      <c r="J460" s="20"/>
      <c r="K460" s="21"/>
      <c r="L460" s="16"/>
    </row>
    <row r="461" spans="1:12" x14ac:dyDescent="0.3">
      <c r="A461" s="17" t="s">
        <v>371</v>
      </c>
      <c r="B461" s="18"/>
      <c r="C461" s="3" t="s">
        <v>372</v>
      </c>
      <c r="D461" s="4" t="s">
        <v>11</v>
      </c>
      <c r="E461" s="5"/>
      <c r="F461" s="6"/>
      <c r="G461" s="6">
        <v>187812</v>
      </c>
      <c r="H461" s="19">
        <v>3814594</v>
      </c>
      <c r="I461" s="20"/>
      <c r="J461" s="20"/>
      <c r="K461" s="21"/>
      <c r="L461" s="16"/>
    </row>
    <row r="462" spans="1:12" x14ac:dyDescent="0.3">
      <c r="A462" s="17" t="s">
        <v>371</v>
      </c>
      <c r="B462" s="18"/>
      <c r="C462" s="3" t="s">
        <v>373</v>
      </c>
      <c r="D462" s="4" t="s">
        <v>11</v>
      </c>
      <c r="E462" s="5"/>
      <c r="F462" s="6"/>
      <c r="G462" s="6">
        <v>13429</v>
      </c>
      <c r="H462" s="19">
        <v>3626782</v>
      </c>
      <c r="I462" s="20"/>
      <c r="J462" s="20"/>
      <c r="K462" s="21"/>
      <c r="L462" s="16"/>
    </row>
    <row r="463" spans="1:12" x14ac:dyDescent="0.3">
      <c r="A463" s="17" t="s">
        <v>371</v>
      </c>
      <c r="B463" s="18"/>
      <c r="C463" s="3" t="s">
        <v>17</v>
      </c>
      <c r="D463" s="4" t="s">
        <v>18</v>
      </c>
      <c r="E463" s="5"/>
      <c r="F463" s="6"/>
      <c r="G463" s="6">
        <v>285868</v>
      </c>
      <c r="H463" s="19">
        <v>3613353</v>
      </c>
      <c r="I463" s="20"/>
      <c r="J463" s="20"/>
      <c r="K463" s="21"/>
      <c r="L463" s="16"/>
    </row>
    <row r="464" spans="1:12" x14ac:dyDescent="0.3">
      <c r="A464" s="17" t="s">
        <v>371</v>
      </c>
      <c r="B464" s="18"/>
      <c r="C464" s="3" t="s">
        <v>225</v>
      </c>
      <c r="D464" s="4" t="s">
        <v>11</v>
      </c>
      <c r="E464" s="5"/>
      <c r="F464" s="6"/>
      <c r="G464" s="6">
        <v>2900540</v>
      </c>
      <c r="H464" s="19">
        <v>3327485</v>
      </c>
      <c r="I464" s="20"/>
      <c r="J464" s="20"/>
      <c r="K464" s="21"/>
      <c r="L464" s="16"/>
    </row>
    <row r="465" spans="1:12" x14ac:dyDescent="0.3">
      <c r="A465" s="17" t="s">
        <v>371</v>
      </c>
      <c r="B465" s="18"/>
      <c r="C465" s="3" t="s">
        <v>374</v>
      </c>
      <c r="D465" s="4" t="s">
        <v>11</v>
      </c>
      <c r="E465" s="5"/>
      <c r="F465" s="6">
        <v>189671</v>
      </c>
      <c r="G465" s="6"/>
      <c r="H465" s="19">
        <v>426945</v>
      </c>
      <c r="I465" s="20"/>
      <c r="J465" s="20"/>
      <c r="K465" s="21"/>
      <c r="L465" s="16"/>
    </row>
    <row r="466" spans="1:12" x14ac:dyDescent="0.3">
      <c r="A466" s="17" t="s">
        <v>371</v>
      </c>
      <c r="B466" s="18"/>
      <c r="C466" s="3" t="s">
        <v>375</v>
      </c>
      <c r="D466" s="4" t="s">
        <v>11</v>
      </c>
      <c r="E466" s="5"/>
      <c r="F466" s="6"/>
      <c r="G466" s="6">
        <v>95508</v>
      </c>
      <c r="H466" s="19">
        <v>616616</v>
      </c>
      <c r="I466" s="20"/>
      <c r="J466" s="20"/>
      <c r="K466" s="21"/>
      <c r="L466" s="16"/>
    </row>
    <row r="467" spans="1:12" x14ac:dyDescent="0.3">
      <c r="A467" s="17" t="s">
        <v>371</v>
      </c>
      <c r="B467" s="18"/>
      <c r="C467" s="3" t="s">
        <v>76</v>
      </c>
      <c r="D467" s="4" t="s">
        <v>18</v>
      </c>
      <c r="E467" s="5"/>
      <c r="F467" s="6"/>
      <c r="G467" s="6">
        <v>130741</v>
      </c>
      <c r="H467" s="19">
        <v>521108</v>
      </c>
      <c r="I467" s="20"/>
      <c r="J467" s="20"/>
      <c r="K467" s="21"/>
      <c r="L467" s="16"/>
    </row>
    <row r="468" spans="1:12" x14ac:dyDescent="0.3">
      <c r="A468" s="17" t="s">
        <v>371</v>
      </c>
      <c r="B468" s="18"/>
      <c r="C468" s="3" t="s">
        <v>269</v>
      </c>
      <c r="D468" s="4" t="s">
        <v>11</v>
      </c>
      <c r="E468" s="5"/>
      <c r="F468" s="6"/>
      <c r="G468" s="6">
        <v>45780</v>
      </c>
      <c r="H468" s="19">
        <v>390367</v>
      </c>
      <c r="I468" s="20"/>
      <c r="J468" s="20"/>
      <c r="K468" s="21"/>
      <c r="L468" s="16"/>
    </row>
    <row r="469" spans="1:12" x14ac:dyDescent="0.3">
      <c r="A469" s="17" t="s">
        <v>376</v>
      </c>
      <c r="B469" s="18"/>
      <c r="C469" s="3" t="s">
        <v>48</v>
      </c>
      <c r="D469" s="4" t="s">
        <v>9</v>
      </c>
      <c r="E469" s="5"/>
      <c r="F469" s="6">
        <v>913528</v>
      </c>
      <c r="G469" s="6"/>
      <c r="H469" s="19">
        <v>344587</v>
      </c>
      <c r="I469" s="20"/>
      <c r="J469" s="20"/>
      <c r="K469" s="21"/>
      <c r="L469" s="16"/>
    </row>
    <row r="470" spans="1:12" x14ac:dyDescent="0.3">
      <c r="A470" s="17" t="s">
        <v>376</v>
      </c>
      <c r="B470" s="18"/>
      <c r="C470" s="3" t="s">
        <v>17</v>
      </c>
      <c r="D470" s="4" t="s">
        <v>18</v>
      </c>
      <c r="E470" s="5"/>
      <c r="F470" s="6"/>
      <c r="G470" s="6">
        <v>150982</v>
      </c>
      <c r="H470" s="19">
        <v>1258115</v>
      </c>
      <c r="I470" s="20"/>
      <c r="J470" s="20"/>
      <c r="K470" s="21"/>
      <c r="L470" s="16"/>
    </row>
    <row r="471" spans="1:12" x14ac:dyDescent="0.3">
      <c r="A471" s="17" t="s">
        <v>376</v>
      </c>
      <c r="B471" s="18"/>
      <c r="C471" s="3" t="s">
        <v>30</v>
      </c>
      <c r="D471" s="4" t="s">
        <v>11</v>
      </c>
      <c r="E471" s="5"/>
      <c r="F471" s="6"/>
      <c r="G471" s="6">
        <v>1014313</v>
      </c>
      <c r="H471" s="19">
        <v>1107133</v>
      </c>
      <c r="I471" s="20"/>
      <c r="J471" s="20"/>
      <c r="K471" s="21"/>
      <c r="L471" s="16"/>
    </row>
    <row r="472" spans="1:12" x14ac:dyDescent="0.3">
      <c r="A472" s="17" t="s">
        <v>376</v>
      </c>
      <c r="B472" s="18"/>
      <c r="C472" s="3" t="s">
        <v>66</v>
      </c>
      <c r="D472" s="4" t="s">
        <v>11</v>
      </c>
      <c r="E472" s="5"/>
      <c r="F472" s="6"/>
      <c r="G472" s="6">
        <v>92820</v>
      </c>
      <c r="H472" s="19">
        <v>92820</v>
      </c>
      <c r="I472" s="20"/>
      <c r="J472" s="20"/>
      <c r="K472" s="21"/>
      <c r="L472" s="16"/>
    </row>
    <row r="473" spans="1:12" x14ac:dyDescent="0.3">
      <c r="A473" s="17" t="s">
        <v>377</v>
      </c>
      <c r="B473" s="18"/>
      <c r="C473" s="3" t="s">
        <v>8</v>
      </c>
      <c r="D473" s="4" t="s">
        <v>9</v>
      </c>
      <c r="E473" s="5"/>
      <c r="F473" s="6"/>
      <c r="G473" s="6">
        <v>913528</v>
      </c>
      <c r="H473" s="19">
        <v>0</v>
      </c>
      <c r="I473" s="20"/>
      <c r="J473" s="20"/>
      <c r="K473" s="21"/>
      <c r="L473" s="16"/>
    </row>
    <row r="474" spans="1:12" x14ac:dyDescent="0.3">
      <c r="A474" s="17" t="s">
        <v>377</v>
      </c>
      <c r="B474" s="18"/>
      <c r="C474" s="3" t="s">
        <v>378</v>
      </c>
      <c r="D474" s="4" t="s">
        <v>11</v>
      </c>
      <c r="E474" s="5"/>
      <c r="F474" s="6"/>
      <c r="G474" s="6">
        <v>23950</v>
      </c>
      <c r="H474" s="19">
        <v>-913528</v>
      </c>
      <c r="I474" s="20"/>
      <c r="J474" s="20"/>
      <c r="K474" s="21"/>
      <c r="L474" s="16"/>
    </row>
    <row r="475" spans="1:12" x14ac:dyDescent="0.3">
      <c r="A475" s="17" t="s">
        <v>377</v>
      </c>
      <c r="B475" s="18"/>
      <c r="C475" s="3" t="s">
        <v>379</v>
      </c>
      <c r="D475" s="4" t="s">
        <v>11</v>
      </c>
      <c r="E475" s="5"/>
      <c r="F475" s="6"/>
      <c r="G475" s="6">
        <v>163877</v>
      </c>
      <c r="H475" s="19">
        <v>-937478</v>
      </c>
      <c r="I475" s="20"/>
      <c r="J475" s="20"/>
      <c r="K475" s="21"/>
      <c r="L475" s="16"/>
    </row>
    <row r="476" spans="1:12" x14ac:dyDescent="0.3">
      <c r="A476" s="17" t="s">
        <v>377</v>
      </c>
      <c r="B476" s="18"/>
      <c r="C476" s="3" t="s">
        <v>19</v>
      </c>
      <c r="D476" s="4" t="s">
        <v>18</v>
      </c>
      <c r="E476" s="5"/>
      <c r="F476" s="6">
        <v>4569600</v>
      </c>
      <c r="G476" s="6"/>
      <c r="H476" s="19">
        <v>-1101355</v>
      </c>
      <c r="I476" s="20"/>
      <c r="J476" s="20"/>
      <c r="K476" s="21"/>
      <c r="L476" s="16"/>
    </row>
    <row r="477" spans="1:12" x14ac:dyDescent="0.3">
      <c r="A477" s="17" t="s">
        <v>377</v>
      </c>
      <c r="B477" s="18"/>
      <c r="C477" s="3" t="s">
        <v>17</v>
      </c>
      <c r="D477" s="4" t="s">
        <v>18</v>
      </c>
      <c r="E477" s="5"/>
      <c r="F477" s="6"/>
      <c r="G477" s="6">
        <v>185524</v>
      </c>
      <c r="H477" s="19">
        <v>3468245</v>
      </c>
      <c r="I477" s="20"/>
      <c r="J477" s="20"/>
      <c r="K477" s="21"/>
      <c r="L477" s="16"/>
    </row>
    <row r="478" spans="1:12" x14ac:dyDescent="0.3">
      <c r="A478" s="17" t="s">
        <v>377</v>
      </c>
      <c r="B478" s="18"/>
      <c r="C478" s="3" t="s">
        <v>238</v>
      </c>
      <c r="D478" s="4" t="s">
        <v>11</v>
      </c>
      <c r="E478" s="5"/>
      <c r="F478" s="6">
        <v>1600000</v>
      </c>
      <c r="G478" s="6"/>
      <c r="H478" s="19">
        <v>3282721</v>
      </c>
      <c r="I478" s="20"/>
      <c r="J478" s="20"/>
      <c r="K478" s="21"/>
      <c r="L478" s="16"/>
    </row>
    <row r="479" spans="1:12" x14ac:dyDescent="0.3">
      <c r="A479" s="17" t="s">
        <v>377</v>
      </c>
      <c r="B479" s="18"/>
      <c r="C479" s="3" t="s">
        <v>75</v>
      </c>
      <c r="D479" s="4" t="s">
        <v>18</v>
      </c>
      <c r="E479" s="5"/>
      <c r="F479" s="6">
        <v>3364840</v>
      </c>
      <c r="G479" s="6"/>
      <c r="H479" s="19">
        <v>4882721</v>
      </c>
      <c r="I479" s="20"/>
      <c r="J479" s="20"/>
      <c r="K479" s="21"/>
      <c r="L479" s="16"/>
    </row>
    <row r="480" spans="1:12" x14ac:dyDescent="0.3">
      <c r="A480" s="17" t="s">
        <v>377</v>
      </c>
      <c r="B480" s="18"/>
      <c r="C480" s="3" t="s">
        <v>30</v>
      </c>
      <c r="D480" s="4" t="s">
        <v>11</v>
      </c>
      <c r="E480" s="5"/>
      <c r="F480" s="6"/>
      <c r="G480" s="6">
        <v>1239532</v>
      </c>
      <c r="H480" s="19">
        <v>8247561</v>
      </c>
      <c r="I480" s="20"/>
      <c r="J480" s="20"/>
      <c r="K480" s="21"/>
      <c r="L480" s="16"/>
    </row>
    <row r="481" spans="1:12" x14ac:dyDescent="0.3">
      <c r="A481" s="17" t="s">
        <v>377</v>
      </c>
      <c r="B481" s="18"/>
      <c r="C481" s="3" t="s">
        <v>380</v>
      </c>
      <c r="D481" s="4" t="s">
        <v>18</v>
      </c>
      <c r="E481" s="5"/>
      <c r="F481" s="6"/>
      <c r="G481" s="6">
        <v>260985</v>
      </c>
      <c r="H481" s="19">
        <v>7008029</v>
      </c>
      <c r="I481" s="20"/>
      <c r="J481" s="20"/>
      <c r="K481" s="21"/>
      <c r="L481" s="16"/>
    </row>
    <row r="482" spans="1:12" x14ac:dyDescent="0.3">
      <c r="A482" s="17" t="s">
        <v>377</v>
      </c>
      <c r="B482" s="18"/>
      <c r="C482" s="3" t="s">
        <v>381</v>
      </c>
      <c r="D482" s="4" t="s">
        <v>11</v>
      </c>
      <c r="E482" s="5"/>
      <c r="F482" s="6"/>
      <c r="G482" s="6">
        <v>68858</v>
      </c>
      <c r="H482" s="19">
        <v>6747044</v>
      </c>
      <c r="I482" s="20"/>
      <c r="J482" s="20"/>
      <c r="K482" s="21"/>
      <c r="L482" s="16"/>
    </row>
    <row r="483" spans="1:12" x14ac:dyDescent="0.3">
      <c r="A483" s="17" t="s">
        <v>382</v>
      </c>
      <c r="B483" s="18"/>
      <c r="C483" s="3" t="s">
        <v>48</v>
      </c>
      <c r="D483" s="4" t="s">
        <v>9</v>
      </c>
      <c r="E483" s="5"/>
      <c r="F483" s="6">
        <v>3921118</v>
      </c>
      <c r="G483" s="6"/>
      <c r="H483" s="19">
        <v>6678186</v>
      </c>
      <c r="I483" s="20"/>
      <c r="J483" s="20"/>
      <c r="K483" s="21"/>
      <c r="L483" s="16"/>
    </row>
    <row r="484" spans="1:12" x14ac:dyDescent="0.3">
      <c r="A484" s="17" t="s">
        <v>382</v>
      </c>
      <c r="B484" s="18"/>
      <c r="C484" s="3" t="s">
        <v>383</v>
      </c>
      <c r="D484" s="4" t="s">
        <v>11</v>
      </c>
      <c r="E484" s="5"/>
      <c r="F484" s="6"/>
      <c r="G484" s="6">
        <v>61972</v>
      </c>
      <c r="H484" s="19">
        <v>10599304</v>
      </c>
      <c r="I484" s="20"/>
      <c r="J484" s="20"/>
      <c r="K484" s="21"/>
      <c r="L484" s="16"/>
    </row>
    <row r="485" spans="1:12" x14ac:dyDescent="0.3">
      <c r="A485" s="17" t="s">
        <v>382</v>
      </c>
      <c r="B485" s="18"/>
      <c r="C485" s="3" t="s">
        <v>271</v>
      </c>
      <c r="D485" s="4" t="s">
        <v>11</v>
      </c>
      <c r="E485" s="5"/>
      <c r="F485" s="6"/>
      <c r="G485" s="6">
        <v>237939</v>
      </c>
      <c r="H485" s="19">
        <v>10537332</v>
      </c>
      <c r="I485" s="20"/>
      <c r="J485" s="20"/>
      <c r="K485" s="21"/>
      <c r="L485" s="16"/>
    </row>
    <row r="486" spans="1:12" x14ac:dyDescent="0.3">
      <c r="A486" s="17" t="s">
        <v>382</v>
      </c>
      <c r="B486" s="18"/>
      <c r="C486" s="3" t="s">
        <v>384</v>
      </c>
      <c r="D486" s="4" t="s">
        <v>11</v>
      </c>
      <c r="E486" s="5"/>
      <c r="F486" s="6"/>
      <c r="G486" s="6">
        <v>139040</v>
      </c>
      <c r="H486" s="19">
        <v>10299393</v>
      </c>
      <c r="I486" s="20"/>
      <c r="J486" s="20"/>
      <c r="K486" s="21"/>
      <c r="L486" s="16"/>
    </row>
    <row r="487" spans="1:12" x14ac:dyDescent="0.3">
      <c r="A487" s="17" t="s">
        <v>382</v>
      </c>
      <c r="B487" s="18"/>
      <c r="C487" s="3" t="s">
        <v>385</v>
      </c>
      <c r="D487" s="4" t="s">
        <v>11</v>
      </c>
      <c r="E487" s="5"/>
      <c r="F487" s="6"/>
      <c r="G487" s="6">
        <v>19590</v>
      </c>
      <c r="H487" s="19">
        <v>10160353</v>
      </c>
      <c r="I487" s="20"/>
      <c r="J487" s="20"/>
      <c r="K487" s="21"/>
      <c r="L487" s="16"/>
    </row>
    <row r="488" spans="1:12" x14ac:dyDescent="0.3">
      <c r="A488" s="17" t="s">
        <v>382</v>
      </c>
      <c r="B488" s="18"/>
      <c r="C488" s="3" t="s">
        <v>386</v>
      </c>
      <c r="D488" s="4" t="s">
        <v>11</v>
      </c>
      <c r="E488" s="5"/>
      <c r="F488" s="6"/>
      <c r="G488" s="6">
        <v>595000</v>
      </c>
      <c r="H488" s="19">
        <v>10140763</v>
      </c>
      <c r="I488" s="20"/>
      <c r="J488" s="20"/>
      <c r="K488" s="21"/>
      <c r="L488" s="16"/>
    </row>
    <row r="489" spans="1:12" x14ac:dyDescent="0.3">
      <c r="A489" s="17" t="s">
        <v>382</v>
      </c>
      <c r="B489" s="18"/>
      <c r="C489" s="3" t="s">
        <v>30</v>
      </c>
      <c r="D489" s="4" t="s">
        <v>11</v>
      </c>
      <c r="E489" s="5"/>
      <c r="F489" s="6"/>
      <c r="G489" s="6">
        <v>2789953</v>
      </c>
      <c r="H489" s="19">
        <v>9545763</v>
      </c>
      <c r="I489" s="20"/>
      <c r="J489" s="20"/>
      <c r="K489" s="21"/>
      <c r="L489" s="16"/>
    </row>
    <row r="490" spans="1:12" x14ac:dyDescent="0.3">
      <c r="A490" s="17" t="s">
        <v>382</v>
      </c>
      <c r="B490" s="18"/>
      <c r="C490" s="3" t="s">
        <v>154</v>
      </c>
      <c r="D490" s="4" t="s">
        <v>18</v>
      </c>
      <c r="E490" s="5"/>
      <c r="F490" s="6"/>
      <c r="G490" s="6">
        <v>6569439</v>
      </c>
      <c r="H490" s="19">
        <v>6755810</v>
      </c>
      <c r="I490" s="20"/>
      <c r="J490" s="20"/>
      <c r="K490" s="21"/>
      <c r="L490" s="16"/>
    </row>
    <row r="491" spans="1:12" x14ac:dyDescent="0.3">
      <c r="A491" s="17" t="s">
        <v>382</v>
      </c>
      <c r="B491" s="18"/>
      <c r="C491" s="3" t="s">
        <v>387</v>
      </c>
      <c r="D491" s="4" t="s">
        <v>18</v>
      </c>
      <c r="E491" s="5"/>
      <c r="F491" s="6"/>
      <c r="G491" s="6">
        <v>16584</v>
      </c>
      <c r="H491" s="19">
        <v>186371</v>
      </c>
      <c r="I491" s="20"/>
      <c r="J491" s="20"/>
      <c r="K491" s="21"/>
      <c r="L491" s="16"/>
    </row>
    <row r="492" spans="1:12" x14ac:dyDescent="0.3">
      <c r="A492" s="17" t="s">
        <v>382</v>
      </c>
      <c r="B492" s="18"/>
      <c r="C492" s="3" t="s">
        <v>325</v>
      </c>
      <c r="D492" s="4" t="s">
        <v>11</v>
      </c>
      <c r="E492" s="5"/>
      <c r="F492" s="6"/>
      <c r="G492" s="6">
        <v>169787</v>
      </c>
      <c r="H492" s="19">
        <v>169787</v>
      </c>
      <c r="I492" s="20"/>
      <c r="J492" s="20"/>
      <c r="K492" s="21"/>
      <c r="L492" s="16"/>
    </row>
    <row r="493" spans="1:12" x14ac:dyDescent="0.3">
      <c r="A493" s="17" t="s">
        <v>388</v>
      </c>
      <c r="B493" s="18"/>
      <c r="C493" s="3" t="s">
        <v>8</v>
      </c>
      <c r="D493" s="4" t="s">
        <v>9</v>
      </c>
      <c r="E493" s="5"/>
      <c r="F493" s="6"/>
      <c r="G493" s="6">
        <v>3435868</v>
      </c>
      <c r="H493" s="19">
        <v>0</v>
      </c>
      <c r="I493" s="20"/>
      <c r="J493" s="20"/>
      <c r="K493" s="21"/>
      <c r="L493" s="16"/>
    </row>
    <row r="494" spans="1:12" x14ac:dyDescent="0.3">
      <c r="A494" s="17" t="s">
        <v>388</v>
      </c>
      <c r="B494" s="18"/>
      <c r="C494" s="3" t="s">
        <v>126</v>
      </c>
      <c r="D494" s="4" t="s">
        <v>11</v>
      </c>
      <c r="E494" s="5"/>
      <c r="F494" s="6">
        <v>72590</v>
      </c>
      <c r="G494" s="6"/>
      <c r="H494" s="19">
        <v>-3435868</v>
      </c>
      <c r="I494" s="20"/>
      <c r="J494" s="20"/>
      <c r="K494" s="21"/>
      <c r="L494" s="16"/>
    </row>
    <row r="495" spans="1:12" x14ac:dyDescent="0.3">
      <c r="A495" s="17" t="s">
        <v>388</v>
      </c>
      <c r="B495" s="18"/>
      <c r="C495" s="3" t="s">
        <v>300</v>
      </c>
      <c r="D495" s="4" t="s">
        <v>11</v>
      </c>
      <c r="E495" s="5"/>
      <c r="F495" s="6">
        <v>184990</v>
      </c>
      <c r="G495" s="6"/>
      <c r="H495" s="19">
        <v>-3363278</v>
      </c>
      <c r="I495" s="20"/>
      <c r="J495" s="20"/>
      <c r="K495" s="21"/>
      <c r="L495" s="16"/>
    </row>
    <row r="496" spans="1:12" x14ac:dyDescent="0.3">
      <c r="A496" s="17" t="s">
        <v>388</v>
      </c>
      <c r="B496" s="18"/>
      <c r="C496" s="3" t="s">
        <v>17</v>
      </c>
      <c r="D496" s="4" t="s">
        <v>18</v>
      </c>
      <c r="E496" s="5"/>
      <c r="F496" s="6"/>
      <c r="G496" s="6">
        <v>59752</v>
      </c>
      <c r="H496" s="19">
        <v>-3178288</v>
      </c>
      <c r="I496" s="20"/>
      <c r="J496" s="20"/>
      <c r="K496" s="21"/>
      <c r="L496" s="16"/>
    </row>
    <row r="497" spans="1:12" x14ac:dyDescent="0.3">
      <c r="A497" s="17" t="s">
        <v>388</v>
      </c>
      <c r="B497" s="18"/>
      <c r="C497" s="3" t="s">
        <v>19</v>
      </c>
      <c r="D497" s="4" t="s">
        <v>18</v>
      </c>
      <c r="E497" s="5"/>
      <c r="F497" s="6">
        <v>4608247</v>
      </c>
      <c r="G497" s="6"/>
      <c r="H497" s="19">
        <v>-3238040</v>
      </c>
      <c r="I497" s="20"/>
      <c r="J497" s="20"/>
      <c r="K497" s="21"/>
      <c r="L497" s="16"/>
    </row>
    <row r="498" spans="1:12" x14ac:dyDescent="0.3">
      <c r="A498" s="17" t="s">
        <v>388</v>
      </c>
      <c r="B498" s="18"/>
      <c r="C498" s="3" t="s">
        <v>107</v>
      </c>
      <c r="D498" s="4" t="s">
        <v>11</v>
      </c>
      <c r="E498" s="5"/>
      <c r="F498" s="6"/>
      <c r="G498" s="6">
        <v>1000000</v>
      </c>
      <c r="H498" s="19">
        <v>1370207</v>
      </c>
      <c r="I498" s="20"/>
      <c r="J498" s="20"/>
      <c r="K498" s="21"/>
      <c r="L498" s="16"/>
    </row>
    <row r="499" spans="1:12" x14ac:dyDescent="0.3">
      <c r="A499" s="17" t="s">
        <v>388</v>
      </c>
      <c r="B499" s="18"/>
      <c r="C499" s="3" t="s">
        <v>389</v>
      </c>
      <c r="D499" s="4" t="s">
        <v>11</v>
      </c>
      <c r="E499" s="5"/>
      <c r="F499" s="6"/>
      <c r="G499" s="6">
        <v>57490</v>
      </c>
      <c r="H499" s="19">
        <v>370207</v>
      </c>
      <c r="I499" s="20"/>
      <c r="J499" s="20"/>
      <c r="K499" s="21"/>
      <c r="L499" s="16"/>
    </row>
    <row r="500" spans="1:12" x14ac:dyDescent="0.3">
      <c r="A500" s="17" t="s">
        <v>388</v>
      </c>
      <c r="B500" s="18"/>
      <c r="C500" s="3" t="s">
        <v>390</v>
      </c>
      <c r="D500" s="4" t="s">
        <v>11</v>
      </c>
      <c r="E500" s="5"/>
      <c r="F500" s="6"/>
      <c r="G500" s="6">
        <v>47292</v>
      </c>
      <c r="H500" s="19">
        <v>312717</v>
      </c>
      <c r="I500" s="20"/>
      <c r="J500" s="20"/>
      <c r="K500" s="21"/>
      <c r="L500" s="16"/>
    </row>
    <row r="501" spans="1:12" x14ac:dyDescent="0.3">
      <c r="A501" s="17" t="s">
        <v>388</v>
      </c>
      <c r="B501" s="18"/>
      <c r="C501" s="3" t="s">
        <v>21</v>
      </c>
      <c r="D501" s="4" t="s">
        <v>18</v>
      </c>
      <c r="E501" s="5"/>
      <c r="F501" s="6"/>
      <c r="G501" s="6">
        <v>126140</v>
      </c>
      <c r="H501" s="19">
        <v>265425</v>
      </c>
      <c r="I501" s="20"/>
      <c r="J501" s="20"/>
      <c r="K501" s="21"/>
      <c r="L501" s="16"/>
    </row>
    <row r="502" spans="1:12" x14ac:dyDescent="0.3">
      <c r="A502" s="17" t="s">
        <v>388</v>
      </c>
      <c r="B502" s="18"/>
      <c r="C502" s="3" t="s">
        <v>391</v>
      </c>
      <c r="D502" s="4" t="s">
        <v>11</v>
      </c>
      <c r="E502" s="5"/>
      <c r="F502" s="6"/>
      <c r="G502" s="6">
        <v>52536</v>
      </c>
      <c r="H502" s="19">
        <v>139285</v>
      </c>
      <c r="I502" s="20"/>
      <c r="J502" s="20"/>
      <c r="K502" s="21"/>
      <c r="L502" s="16"/>
    </row>
    <row r="503" spans="1:12" x14ac:dyDescent="0.3">
      <c r="A503" s="17" t="s">
        <v>388</v>
      </c>
      <c r="B503" s="18"/>
      <c r="C503" s="3" t="s">
        <v>392</v>
      </c>
      <c r="D503" s="4" t="s">
        <v>11</v>
      </c>
      <c r="E503" s="5"/>
      <c r="F503" s="6"/>
      <c r="G503" s="6">
        <v>86749</v>
      </c>
      <c r="H503" s="19">
        <v>86749</v>
      </c>
      <c r="I503" s="20"/>
      <c r="J503" s="20"/>
      <c r="K503" s="21"/>
      <c r="L503" s="16"/>
    </row>
    <row r="504" spans="1:12" x14ac:dyDescent="0.3">
      <c r="A504" s="17" t="s">
        <v>393</v>
      </c>
      <c r="B504" s="18"/>
      <c r="C504" s="3" t="s">
        <v>48</v>
      </c>
      <c r="D504" s="4" t="s">
        <v>9</v>
      </c>
      <c r="E504" s="5"/>
      <c r="F504" s="6">
        <v>1489045</v>
      </c>
      <c r="G504" s="6"/>
      <c r="H504" s="19">
        <v>0</v>
      </c>
      <c r="I504" s="20"/>
      <c r="J504" s="20"/>
      <c r="K504" s="21"/>
      <c r="L504" s="16"/>
    </row>
    <row r="505" spans="1:12" x14ac:dyDescent="0.3">
      <c r="A505" s="17" t="s">
        <v>393</v>
      </c>
      <c r="B505" s="18"/>
      <c r="C505" s="3" t="s">
        <v>45</v>
      </c>
      <c r="D505" s="4" t="s">
        <v>18</v>
      </c>
      <c r="E505" s="5"/>
      <c r="F505" s="6"/>
      <c r="G505" s="6">
        <v>128540</v>
      </c>
      <c r="H505" s="19">
        <v>1489045</v>
      </c>
      <c r="I505" s="20"/>
      <c r="J505" s="20"/>
      <c r="K505" s="21"/>
      <c r="L505" s="16"/>
    </row>
    <row r="506" spans="1:12" x14ac:dyDescent="0.3">
      <c r="A506" s="17" t="s">
        <v>393</v>
      </c>
      <c r="B506" s="18"/>
      <c r="C506" s="3" t="s">
        <v>394</v>
      </c>
      <c r="D506" s="4" t="s">
        <v>18</v>
      </c>
      <c r="E506" s="5"/>
      <c r="F506" s="6"/>
      <c r="G506" s="6">
        <v>404600</v>
      </c>
      <c r="H506" s="19">
        <v>1360505</v>
      </c>
      <c r="I506" s="20"/>
      <c r="J506" s="20"/>
      <c r="K506" s="21"/>
      <c r="L506" s="16"/>
    </row>
    <row r="507" spans="1:12" x14ac:dyDescent="0.3">
      <c r="A507" s="17" t="s">
        <v>393</v>
      </c>
      <c r="B507" s="18"/>
      <c r="C507" s="3" t="s">
        <v>69</v>
      </c>
      <c r="D507" s="4" t="s">
        <v>11</v>
      </c>
      <c r="E507" s="5"/>
      <c r="F507" s="6"/>
      <c r="G507" s="6">
        <v>124762</v>
      </c>
      <c r="H507" s="19">
        <v>955905</v>
      </c>
      <c r="I507" s="20"/>
      <c r="J507" s="20"/>
      <c r="K507" s="21"/>
      <c r="L507" s="16"/>
    </row>
    <row r="508" spans="1:12" x14ac:dyDescent="0.3">
      <c r="A508" s="17" t="s">
        <v>393</v>
      </c>
      <c r="B508" s="18"/>
      <c r="C508" s="3" t="s">
        <v>17</v>
      </c>
      <c r="D508" s="4" t="s">
        <v>18</v>
      </c>
      <c r="E508" s="5"/>
      <c r="F508" s="6"/>
      <c r="G508" s="6">
        <v>45249</v>
      </c>
      <c r="H508" s="19">
        <v>831143</v>
      </c>
      <c r="I508" s="20"/>
      <c r="J508" s="20"/>
      <c r="K508" s="21"/>
      <c r="L508" s="16"/>
    </row>
    <row r="509" spans="1:12" x14ac:dyDescent="0.3">
      <c r="A509" s="17" t="s">
        <v>393</v>
      </c>
      <c r="B509" s="18"/>
      <c r="C509" s="3" t="s">
        <v>395</v>
      </c>
      <c r="D509" s="4" t="s">
        <v>11</v>
      </c>
      <c r="E509" s="5"/>
      <c r="F509" s="6"/>
      <c r="G509" s="6">
        <v>71400</v>
      </c>
      <c r="H509" s="19">
        <v>785894</v>
      </c>
      <c r="I509" s="20"/>
      <c r="J509" s="20"/>
      <c r="K509" s="21"/>
      <c r="L509" s="16"/>
    </row>
    <row r="510" spans="1:12" x14ac:dyDescent="0.3">
      <c r="A510" s="17" t="s">
        <v>393</v>
      </c>
      <c r="B510" s="18"/>
      <c r="C510" s="3" t="s">
        <v>396</v>
      </c>
      <c r="D510" s="4" t="s">
        <v>11</v>
      </c>
      <c r="E510" s="5"/>
      <c r="F510" s="6"/>
      <c r="G510" s="6">
        <v>117392</v>
      </c>
      <c r="H510" s="19">
        <v>714494</v>
      </c>
      <c r="I510" s="20"/>
      <c r="J510" s="20"/>
      <c r="K510" s="21"/>
      <c r="L510" s="16"/>
    </row>
    <row r="511" spans="1:12" x14ac:dyDescent="0.3">
      <c r="A511" s="17" t="s">
        <v>393</v>
      </c>
      <c r="B511" s="18"/>
      <c r="C511" s="3" t="s">
        <v>19</v>
      </c>
      <c r="D511" s="4" t="s">
        <v>18</v>
      </c>
      <c r="E511" s="5"/>
      <c r="F511" s="6">
        <v>476280</v>
      </c>
      <c r="G511" s="6"/>
      <c r="H511" s="19">
        <v>597102</v>
      </c>
      <c r="I511" s="20"/>
      <c r="J511" s="20"/>
      <c r="K511" s="21"/>
      <c r="L511" s="16"/>
    </row>
    <row r="512" spans="1:12" x14ac:dyDescent="0.3">
      <c r="A512" s="17" t="s">
        <v>393</v>
      </c>
      <c r="B512" s="18"/>
      <c r="C512" s="3" t="s">
        <v>225</v>
      </c>
      <c r="D512" s="4" t="s">
        <v>11</v>
      </c>
      <c r="E512" s="5"/>
      <c r="F512" s="6"/>
      <c r="G512" s="6">
        <v>144360</v>
      </c>
      <c r="H512" s="19">
        <v>1073382</v>
      </c>
      <c r="I512" s="20"/>
      <c r="J512" s="20"/>
      <c r="K512" s="21"/>
      <c r="L512" s="16"/>
    </row>
    <row r="513" spans="1:12" x14ac:dyDescent="0.3">
      <c r="A513" s="17" t="s">
        <v>393</v>
      </c>
      <c r="B513" s="18"/>
      <c r="C513" s="3" t="s">
        <v>30</v>
      </c>
      <c r="D513" s="4" t="s">
        <v>11</v>
      </c>
      <c r="E513" s="5"/>
      <c r="F513" s="6"/>
      <c r="G513" s="6">
        <v>644258</v>
      </c>
      <c r="H513" s="19">
        <v>929022</v>
      </c>
      <c r="I513" s="20"/>
      <c r="J513" s="20"/>
      <c r="K513" s="21"/>
      <c r="L513" s="16"/>
    </row>
    <row r="514" spans="1:12" x14ac:dyDescent="0.3">
      <c r="A514" s="17" t="s">
        <v>393</v>
      </c>
      <c r="B514" s="18"/>
      <c r="C514" s="3" t="s">
        <v>137</v>
      </c>
      <c r="D514" s="4" t="s">
        <v>18</v>
      </c>
      <c r="E514" s="5"/>
      <c r="F514" s="6"/>
      <c r="G514" s="6">
        <v>47208</v>
      </c>
      <c r="H514" s="19">
        <v>284764</v>
      </c>
      <c r="I514" s="20"/>
      <c r="J514" s="20"/>
      <c r="K514" s="21"/>
      <c r="L514" s="16"/>
    </row>
    <row r="515" spans="1:12" x14ac:dyDescent="0.3">
      <c r="A515" s="17" t="s">
        <v>393</v>
      </c>
      <c r="B515" s="18"/>
      <c r="C515" s="3" t="s">
        <v>397</v>
      </c>
      <c r="D515" s="4" t="s">
        <v>11</v>
      </c>
      <c r="E515" s="5"/>
      <c r="F515" s="6"/>
      <c r="G515" s="6">
        <v>44150</v>
      </c>
      <c r="H515" s="19">
        <v>237556</v>
      </c>
      <c r="I515" s="20"/>
      <c r="J515" s="20"/>
      <c r="K515" s="21"/>
      <c r="L515" s="16"/>
    </row>
    <row r="516" spans="1:12" x14ac:dyDescent="0.3">
      <c r="A516" s="17" t="s">
        <v>398</v>
      </c>
      <c r="B516" s="18"/>
      <c r="C516" s="3" t="s">
        <v>8</v>
      </c>
      <c r="D516" s="4" t="s">
        <v>9</v>
      </c>
      <c r="E516" s="5"/>
      <c r="F516" s="6"/>
      <c r="G516" s="6">
        <v>1974295</v>
      </c>
      <c r="H516" s="19">
        <v>193406</v>
      </c>
      <c r="I516" s="20"/>
      <c r="J516" s="20"/>
      <c r="K516" s="21"/>
      <c r="L516" s="16"/>
    </row>
    <row r="517" spans="1:12" ht="27.6" x14ac:dyDescent="0.3">
      <c r="A517" s="17" t="s">
        <v>398</v>
      </c>
      <c r="B517" s="18"/>
      <c r="C517" s="3" t="s">
        <v>41</v>
      </c>
      <c r="D517" s="4" t="s">
        <v>399</v>
      </c>
      <c r="E517" s="5" t="s">
        <v>400</v>
      </c>
      <c r="F517" s="6"/>
      <c r="G517" s="6">
        <v>91661</v>
      </c>
      <c r="H517" s="19">
        <v>-1780889</v>
      </c>
      <c r="I517" s="20"/>
      <c r="J517" s="20"/>
      <c r="K517" s="21"/>
      <c r="L517" s="16"/>
    </row>
    <row r="518" spans="1:12" x14ac:dyDescent="0.3">
      <c r="A518" s="17" t="s">
        <v>398</v>
      </c>
      <c r="B518" s="18"/>
      <c r="C518" s="3" t="s">
        <v>41</v>
      </c>
      <c r="D518" s="4" t="s">
        <v>71</v>
      </c>
      <c r="E518" s="5" t="s">
        <v>401</v>
      </c>
      <c r="F518" s="6"/>
      <c r="G518" s="6">
        <v>101745</v>
      </c>
      <c r="H518" s="19">
        <v>-1872550</v>
      </c>
      <c r="I518" s="20"/>
      <c r="J518" s="20"/>
      <c r="K518" s="21"/>
      <c r="L518" s="16"/>
    </row>
    <row r="519" spans="1:12" x14ac:dyDescent="0.3">
      <c r="A519" s="17" t="s">
        <v>398</v>
      </c>
      <c r="B519" s="18"/>
      <c r="C519" s="3" t="s">
        <v>112</v>
      </c>
      <c r="D519" s="4" t="s">
        <v>18</v>
      </c>
      <c r="E519" s="5"/>
      <c r="F519" s="6">
        <v>1541348</v>
      </c>
      <c r="G519" s="6"/>
      <c r="H519" s="19">
        <v>-1974295</v>
      </c>
      <c r="I519" s="20"/>
      <c r="J519" s="20"/>
      <c r="K519" s="21"/>
      <c r="L519" s="16"/>
    </row>
    <row r="520" spans="1:12" x14ac:dyDescent="0.3">
      <c r="A520" s="17" t="s">
        <v>398</v>
      </c>
      <c r="B520" s="18"/>
      <c r="C520" s="3" t="s">
        <v>145</v>
      </c>
      <c r="D520" s="4" t="s">
        <v>11</v>
      </c>
      <c r="E520" s="5"/>
      <c r="F520" s="6"/>
      <c r="G520" s="6">
        <v>134065</v>
      </c>
      <c r="H520" s="19">
        <v>-432947</v>
      </c>
      <c r="I520" s="20"/>
      <c r="J520" s="20"/>
      <c r="K520" s="21"/>
      <c r="L520" s="16"/>
    </row>
    <row r="521" spans="1:12" x14ac:dyDescent="0.3">
      <c r="A521" s="17" t="s">
        <v>398</v>
      </c>
      <c r="B521" s="18"/>
      <c r="C521" s="3" t="s">
        <v>44</v>
      </c>
      <c r="D521" s="4" t="s">
        <v>11</v>
      </c>
      <c r="E521" s="5"/>
      <c r="F521" s="6"/>
      <c r="G521" s="6">
        <v>55950</v>
      </c>
      <c r="H521" s="19">
        <v>-567012</v>
      </c>
      <c r="I521" s="20"/>
      <c r="J521" s="20"/>
      <c r="K521" s="21"/>
      <c r="L521" s="16"/>
    </row>
    <row r="522" spans="1:12" x14ac:dyDescent="0.3">
      <c r="A522" s="17" t="s">
        <v>398</v>
      </c>
      <c r="B522" s="18"/>
      <c r="C522" s="3" t="s">
        <v>17</v>
      </c>
      <c r="D522" s="4" t="s">
        <v>18</v>
      </c>
      <c r="E522" s="5"/>
      <c r="F522" s="6"/>
      <c r="G522" s="6">
        <v>25859</v>
      </c>
      <c r="H522" s="19">
        <v>-622962</v>
      </c>
      <c r="I522" s="20"/>
      <c r="J522" s="20"/>
      <c r="K522" s="21"/>
      <c r="L522" s="16"/>
    </row>
    <row r="523" spans="1:12" x14ac:dyDescent="0.3">
      <c r="A523" s="17" t="s">
        <v>398</v>
      </c>
      <c r="B523" s="18"/>
      <c r="C523" s="3" t="s">
        <v>402</v>
      </c>
      <c r="D523" s="4" t="s">
        <v>11</v>
      </c>
      <c r="E523" s="5"/>
      <c r="F523" s="6"/>
      <c r="G523" s="6">
        <v>18320</v>
      </c>
      <c r="H523" s="19">
        <v>-648821</v>
      </c>
      <c r="I523" s="20"/>
      <c r="J523" s="20"/>
      <c r="K523" s="21"/>
      <c r="L523" s="16"/>
    </row>
    <row r="524" spans="1:12" x14ac:dyDescent="0.3">
      <c r="A524" s="17" t="s">
        <v>398</v>
      </c>
      <c r="B524" s="18"/>
      <c r="C524" s="3" t="s">
        <v>106</v>
      </c>
      <c r="D524" s="4" t="s">
        <v>18</v>
      </c>
      <c r="E524" s="5"/>
      <c r="F524" s="6">
        <v>4751181</v>
      </c>
      <c r="G524" s="6"/>
      <c r="H524" s="19">
        <v>-667141</v>
      </c>
      <c r="I524" s="20"/>
      <c r="J524" s="20"/>
      <c r="K524" s="21"/>
      <c r="L524" s="16"/>
    </row>
    <row r="525" spans="1:12" x14ac:dyDescent="0.3">
      <c r="A525" s="17" t="s">
        <v>398</v>
      </c>
      <c r="B525" s="18"/>
      <c r="C525" s="3" t="s">
        <v>403</v>
      </c>
      <c r="D525" s="4" t="s">
        <v>11</v>
      </c>
      <c r="E525" s="5"/>
      <c r="F525" s="6"/>
      <c r="G525" s="6">
        <v>45220</v>
      </c>
      <c r="H525" s="19">
        <v>4084040</v>
      </c>
      <c r="I525" s="20"/>
      <c r="J525" s="20"/>
      <c r="K525" s="21"/>
      <c r="L525" s="16"/>
    </row>
    <row r="526" spans="1:12" x14ac:dyDescent="0.3">
      <c r="A526" s="17" t="s">
        <v>398</v>
      </c>
      <c r="B526" s="18"/>
      <c r="C526" s="3" t="s">
        <v>97</v>
      </c>
      <c r="D526" s="4" t="s">
        <v>11</v>
      </c>
      <c r="E526" s="5"/>
      <c r="F526" s="6"/>
      <c r="G526" s="6">
        <v>115466</v>
      </c>
      <c r="H526" s="19">
        <v>4038820</v>
      </c>
      <c r="I526" s="20"/>
      <c r="J526" s="20"/>
      <c r="K526" s="21"/>
      <c r="L526" s="16"/>
    </row>
    <row r="527" spans="1:12" x14ac:dyDescent="0.3">
      <c r="A527" s="17" t="s">
        <v>398</v>
      </c>
      <c r="B527" s="18"/>
      <c r="C527" s="3" t="s">
        <v>404</v>
      </c>
      <c r="D527" s="4" t="s">
        <v>11</v>
      </c>
      <c r="E527" s="5"/>
      <c r="F527" s="6"/>
      <c r="G527" s="6">
        <v>24970</v>
      </c>
      <c r="H527" s="19">
        <v>3923354</v>
      </c>
      <c r="I527" s="20"/>
      <c r="J527" s="20"/>
      <c r="K527" s="21"/>
      <c r="L527" s="16"/>
    </row>
    <row r="528" spans="1:12" x14ac:dyDescent="0.3">
      <c r="A528" s="17" t="s">
        <v>405</v>
      </c>
      <c r="B528" s="18"/>
      <c r="C528" s="3" t="s">
        <v>406</v>
      </c>
      <c r="D528" s="4" t="s">
        <v>11</v>
      </c>
      <c r="E528" s="5"/>
      <c r="F528" s="6"/>
      <c r="G528" s="6">
        <v>59698</v>
      </c>
      <c r="H528" s="19">
        <v>3898384</v>
      </c>
      <c r="I528" s="20"/>
      <c r="J528" s="20"/>
      <c r="K528" s="21"/>
      <c r="L528" s="16"/>
    </row>
    <row r="529" spans="1:12" x14ac:dyDescent="0.3">
      <c r="A529" s="17" t="s">
        <v>405</v>
      </c>
      <c r="B529" s="18"/>
      <c r="C529" s="3" t="s">
        <v>407</v>
      </c>
      <c r="D529" s="4" t="s">
        <v>11</v>
      </c>
      <c r="E529" s="5"/>
      <c r="F529" s="6"/>
      <c r="G529" s="6">
        <v>93121</v>
      </c>
      <c r="H529" s="19">
        <v>3838686</v>
      </c>
      <c r="I529" s="20"/>
      <c r="J529" s="20"/>
      <c r="K529" s="21"/>
      <c r="L529" s="16"/>
    </row>
    <row r="530" spans="1:12" x14ac:dyDescent="0.3">
      <c r="A530" s="17" t="s">
        <v>405</v>
      </c>
      <c r="B530" s="18"/>
      <c r="C530" s="3" t="s">
        <v>17</v>
      </c>
      <c r="D530" s="4" t="s">
        <v>18</v>
      </c>
      <c r="E530" s="5"/>
      <c r="F530" s="6"/>
      <c r="G530" s="6">
        <v>111886</v>
      </c>
      <c r="H530" s="19">
        <v>3745565</v>
      </c>
      <c r="I530" s="20"/>
      <c r="J530" s="20"/>
      <c r="K530" s="21"/>
      <c r="L530" s="16"/>
    </row>
    <row r="531" spans="1:12" x14ac:dyDescent="0.3">
      <c r="A531" s="17" t="s">
        <v>405</v>
      </c>
      <c r="B531" s="18"/>
      <c r="C531" s="3" t="s">
        <v>219</v>
      </c>
      <c r="D531" s="4" t="s">
        <v>18</v>
      </c>
      <c r="E531" s="5"/>
      <c r="F531" s="6"/>
      <c r="G531" s="6">
        <v>767712</v>
      </c>
      <c r="H531" s="19">
        <v>3633679</v>
      </c>
      <c r="I531" s="20"/>
      <c r="J531" s="20"/>
      <c r="K531" s="21"/>
      <c r="L531" s="16"/>
    </row>
    <row r="532" spans="1:12" x14ac:dyDescent="0.3">
      <c r="A532" s="17" t="s">
        <v>405</v>
      </c>
      <c r="B532" s="18"/>
      <c r="C532" s="3" t="s">
        <v>408</v>
      </c>
      <c r="D532" s="4" t="s">
        <v>11</v>
      </c>
      <c r="E532" s="5"/>
      <c r="F532" s="6"/>
      <c r="G532" s="6">
        <v>76818</v>
      </c>
      <c r="H532" s="19">
        <v>2865967</v>
      </c>
      <c r="I532" s="20"/>
      <c r="J532" s="20"/>
      <c r="K532" s="21"/>
      <c r="L532" s="16"/>
    </row>
    <row r="533" spans="1:12" x14ac:dyDescent="0.3">
      <c r="A533" s="17" t="s">
        <v>405</v>
      </c>
      <c r="B533" s="18"/>
      <c r="C533" s="3" t="s">
        <v>50</v>
      </c>
      <c r="D533" s="4" t="s">
        <v>11</v>
      </c>
      <c r="E533" s="5"/>
      <c r="F533" s="6"/>
      <c r="G533" s="6">
        <v>700000</v>
      </c>
      <c r="H533" s="19">
        <v>2789149</v>
      </c>
      <c r="I533" s="20"/>
      <c r="J533" s="20"/>
      <c r="K533" s="21"/>
      <c r="L533" s="16"/>
    </row>
    <row r="534" spans="1:12" x14ac:dyDescent="0.3">
      <c r="A534" s="17" t="s">
        <v>409</v>
      </c>
      <c r="B534" s="18"/>
      <c r="C534" s="3" t="s">
        <v>410</v>
      </c>
      <c r="D534" s="4" t="s">
        <v>11</v>
      </c>
      <c r="E534" s="5"/>
      <c r="F534" s="6"/>
      <c r="G534" s="6">
        <v>86603</v>
      </c>
      <c r="H534" s="19">
        <v>2089149</v>
      </c>
      <c r="I534" s="20"/>
      <c r="J534" s="20"/>
      <c r="K534" s="21"/>
      <c r="L534" s="16"/>
    </row>
    <row r="535" spans="1:12" x14ac:dyDescent="0.3">
      <c r="A535" s="17" t="s">
        <v>409</v>
      </c>
      <c r="B535" s="18"/>
      <c r="C535" s="3" t="s">
        <v>17</v>
      </c>
      <c r="D535" s="4" t="s">
        <v>18</v>
      </c>
      <c r="E535" s="5"/>
      <c r="F535" s="6"/>
      <c r="G535" s="6">
        <v>82994</v>
      </c>
      <c r="H535" s="19">
        <v>2002546</v>
      </c>
      <c r="I535" s="20"/>
      <c r="J535" s="20"/>
      <c r="K535" s="21"/>
      <c r="L535" s="16"/>
    </row>
    <row r="536" spans="1:12" x14ac:dyDescent="0.3">
      <c r="A536" s="17" t="s">
        <v>409</v>
      </c>
      <c r="B536" s="18"/>
      <c r="C536" s="3" t="s">
        <v>374</v>
      </c>
      <c r="D536" s="4" t="s">
        <v>11</v>
      </c>
      <c r="E536" s="5"/>
      <c r="F536" s="6">
        <v>475985</v>
      </c>
      <c r="G536" s="6"/>
      <c r="H536" s="19">
        <v>1919552</v>
      </c>
      <c r="I536" s="20"/>
      <c r="J536" s="20"/>
      <c r="K536" s="21"/>
      <c r="L536" s="16"/>
    </row>
    <row r="537" spans="1:12" x14ac:dyDescent="0.3">
      <c r="A537" s="17" t="s">
        <v>409</v>
      </c>
      <c r="B537" s="18"/>
      <c r="C537" s="3" t="s">
        <v>411</v>
      </c>
      <c r="D537" s="4" t="s">
        <v>11</v>
      </c>
      <c r="E537" s="5"/>
      <c r="F537" s="6"/>
      <c r="G537" s="6">
        <v>166784</v>
      </c>
      <c r="H537" s="19">
        <v>2395537</v>
      </c>
      <c r="I537" s="20"/>
      <c r="J537" s="20"/>
      <c r="K537" s="21"/>
      <c r="L537" s="16"/>
    </row>
    <row r="538" spans="1:12" x14ac:dyDescent="0.3">
      <c r="A538" s="17" t="s">
        <v>409</v>
      </c>
      <c r="B538" s="18"/>
      <c r="C538" s="3" t="s">
        <v>162</v>
      </c>
      <c r="D538" s="4" t="s">
        <v>11</v>
      </c>
      <c r="E538" s="5"/>
      <c r="F538" s="6"/>
      <c r="G538" s="6">
        <v>28109</v>
      </c>
      <c r="H538" s="19">
        <v>2228753</v>
      </c>
      <c r="I538" s="20"/>
      <c r="J538" s="20"/>
      <c r="K538" s="21"/>
      <c r="L538" s="16"/>
    </row>
    <row r="539" spans="1:12" x14ac:dyDescent="0.3">
      <c r="A539" s="17" t="s">
        <v>409</v>
      </c>
      <c r="B539" s="18"/>
      <c r="C539" s="3" t="s">
        <v>250</v>
      </c>
      <c r="D539" s="4" t="s">
        <v>11</v>
      </c>
      <c r="E539" s="5"/>
      <c r="F539" s="6"/>
      <c r="G539" s="6">
        <v>27372</v>
      </c>
      <c r="H539" s="19">
        <v>2200644</v>
      </c>
      <c r="I539" s="20"/>
      <c r="J539" s="20"/>
      <c r="K539" s="21"/>
      <c r="L539" s="16"/>
    </row>
    <row r="540" spans="1:12" x14ac:dyDescent="0.3">
      <c r="A540" s="17" t="s">
        <v>409</v>
      </c>
      <c r="B540" s="18"/>
      <c r="C540" s="3" t="s">
        <v>412</v>
      </c>
      <c r="D540" s="4" t="s">
        <v>11</v>
      </c>
      <c r="E540" s="5"/>
      <c r="F540" s="6"/>
      <c r="G540" s="6">
        <v>68772</v>
      </c>
      <c r="H540" s="19">
        <v>2173272</v>
      </c>
      <c r="I540" s="20"/>
      <c r="J540" s="20"/>
      <c r="K540" s="21"/>
      <c r="L540" s="16"/>
    </row>
    <row r="541" spans="1:12" x14ac:dyDescent="0.3">
      <c r="A541" s="17" t="s">
        <v>413</v>
      </c>
      <c r="B541" s="18"/>
      <c r="C541" s="3" t="s">
        <v>414</v>
      </c>
      <c r="D541" s="4" t="s">
        <v>11</v>
      </c>
      <c r="E541" s="5"/>
      <c r="F541" s="6"/>
      <c r="G541" s="6">
        <v>39145</v>
      </c>
      <c r="H541" s="19">
        <v>2104500</v>
      </c>
      <c r="I541" s="20"/>
      <c r="J541" s="20"/>
      <c r="K541" s="21"/>
      <c r="L541" s="16"/>
    </row>
    <row r="542" spans="1:12" x14ac:dyDescent="0.3">
      <c r="A542" s="17" t="s">
        <v>413</v>
      </c>
      <c r="B542" s="18"/>
      <c r="C542" s="3" t="s">
        <v>355</v>
      </c>
      <c r="D542" s="4" t="s">
        <v>11</v>
      </c>
      <c r="E542" s="5"/>
      <c r="F542" s="6"/>
      <c r="G542" s="6">
        <v>292031</v>
      </c>
      <c r="H542" s="19">
        <v>2065355</v>
      </c>
      <c r="I542" s="20"/>
      <c r="J542" s="20"/>
      <c r="K542" s="21"/>
      <c r="L542" s="16"/>
    </row>
    <row r="543" spans="1:12" x14ac:dyDescent="0.3">
      <c r="A543" s="17" t="s">
        <v>413</v>
      </c>
      <c r="B543" s="18"/>
      <c r="C543" s="3" t="s">
        <v>224</v>
      </c>
      <c r="D543" s="4" t="s">
        <v>11</v>
      </c>
      <c r="E543" s="5"/>
      <c r="F543" s="6"/>
      <c r="G543" s="6">
        <v>69300</v>
      </c>
      <c r="H543" s="19">
        <v>1773324</v>
      </c>
      <c r="I543" s="20"/>
      <c r="J543" s="20"/>
      <c r="K543" s="21"/>
      <c r="L543" s="16"/>
    </row>
    <row r="544" spans="1:12" x14ac:dyDescent="0.3">
      <c r="A544" s="17" t="s">
        <v>413</v>
      </c>
      <c r="B544" s="18"/>
      <c r="C544" s="3" t="s">
        <v>277</v>
      </c>
      <c r="D544" s="4" t="s">
        <v>11</v>
      </c>
      <c r="E544" s="5"/>
      <c r="F544" s="6"/>
      <c r="G544" s="6">
        <v>71787</v>
      </c>
      <c r="H544" s="19">
        <v>1704024</v>
      </c>
      <c r="I544" s="20"/>
      <c r="J544" s="20"/>
      <c r="K544" s="21"/>
      <c r="L544" s="16"/>
    </row>
    <row r="545" spans="1:12" x14ac:dyDescent="0.3">
      <c r="A545" s="17" t="s">
        <v>413</v>
      </c>
      <c r="B545" s="18"/>
      <c r="C545" s="3" t="s">
        <v>415</v>
      </c>
      <c r="D545" s="4" t="s">
        <v>11</v>
      </c>
      <c r="E545" s="5"/>
      <c r="F545" s="6"/>
      <c r="G545" s="6">
        <v>56120</v>
      </c>
      <c r="H545" s="19">
        <v>1632237</v>
      </c>
      <c r="I545" s="20"/>
      <c r="J545" s="20"/>
      <c r="K545" s="21"/>
      <c r="L545" s="16"/>
    </row>
    <row r="546" spans="1:12" x14ac:dyDescent="0.3">
      <c r="A546" s="17" t="s">
        <v>413</v>
      </c>
      <c r="B546" s="18"/>
      <c r="C546" s="3" t="s">
        <v>17</v>
      </c>
      <c r="D546" s="4" t="s">
        <v>18</v>
      </c>
      <c r="E546" s="5"/>
      <c r="F546" s="6"/>
      <c r="G546" s="6">
        <v>60417</v>
      </c>
      <c r="H546" s="19">
        <v>1576117</v>
      </c>
      <c r="I546" s="20"/>
      <c r="J546" s="20"/>
      <c r="K546" s="21"/>
      <c r="L546" s="16"/>
    </row>
    <row r="547" spans="1:12" x14ac:dyDescent="0.3">
      <c r="A547" s="17" t="s">
        <v>413</v>
      </c>
      <c r="B547" s="18"/>
      <c r="C547" s="3" t="s">
        <v>30</v>
      </c>
      <c r="D547" s="4" t="s">
        <v>11</v>
      </c>
      <c r="E547" s="5"/>
      <c r="F547" s="6"/>
      <c r="G547" s="6">
        <v>36443</v>
      </c>
      <c r="H547" s="19">
        <v>1515700</v>
      </c>
      <c r="I547" s="20"/>
      <c r="J547" s="20"/>
      <c r="K547" s="21"/>
      <c r="L547" s="16"/>
    </row>
    <row r="548" spans="1:12" x14ac:dyDescent="0.3">
      <c r="A548" s="17" t="s">
        <v>413</v>
      </c>
      <c r="B548" s="18"/>
      <c r="C548" s="3" t="s">
        <v>349</v>
      </c>
      <c r="D548" s="4" t="s">
        <v>11</v>
      </c>
      <c r="E548" s="5"/>
      <c r="F548" s="6">
        <v>170170</v>
      </c>
      <c r="G548" s="6"/>
      <c r="H548" s="19">
        <v>1479257</v>
      </c>
      <c r="I548" s="20"/>
      <c r="J548" s="20"/>
      <c r="K548" s="21"/>
      <c r="L548" s="16"/>
    </row>
    <row r="549" spans="1:12" x14ac:dyDescent="0.3">
      <c r="A549" s="17" t="s">
        <v>413</v>
      </c>
      <c r="B549" s="18"/>
      <c r="C549" s="3" t="s">
        <v>416</v>
      </c>
      <c r="D549" s="4" t="s">
        <v>18</v>
      </c>
      <c r="E549" s="5"/>
      <c r="F549" s="6"/>
      <c r="G549" s="6">
        <v>404600</v>
      </c>
      <c r="H549" s="19">
        <v>1649427</v>
      </c>
      <c r="I549" s="20"/>
      <c r="J549" s="20"/>
      <c r="K549" s="21"/>
      <c r="L549" s="16"/>
    </row>
    <row r="550" spans="1:12" x14ac:dyDescent="0.3">
      <c r="A550" s="17" t="s">
        <v>413</v>
      </c>
      <c r="B550" s="18"/>
      <c r="C550" s="3" t="s">
        <v>417</v>
      </c>
      <c r="D550" s="4" t="s">
        <v>11</v>
      </c>
      <c r="E550" s="5"/>
      <c r="F550" s="6"/>
      <c r="G550" s="6">
        <v>33740</v>
      </c>
      <c r="H550" s="19">
        <v>1244827</v>
      </c>
      <c r="I550" s="20"/>
      <c r="J550" s="20"/>
      <c r="K550" s="21"/>
      <c r="L550" s="16"/>
    </row>
    <row r="551" spans="1:12" x14ac:dyDescent="0.3">
      <c r="A551" s="17" t="s">
        <v>413</v>
      </c>
      <c r="B551" s="18"/>
      <c r="C551" s="3" t="s">
        <v>408</v>
      </c>
      <c r="D551" s="4" t="s">
        <v>11</v>
      </c>
      <c r="E551" s="5"/>
      <c r="F551" s="6"/>
      <c r="G551" s="6">
        <v>76818</v>
      </c>
      <c r="H551" s="19">
        <v>1211087</v>
      </c>
      <c r="I551" s="20"/>
      <c r="J551" s="20"/>
      <c r="K551" s="21"/>
      <c r="L551" s="16"/>
    </row>
    <row r="552" spans="1:12" x14ac:dyDescent="0.3">
      <c r="A552" s="17" t="s">
        <v>413</v>
      </c>
      <c r="B552" s="18"/>
      <c r="C552" s="3" t="s">
        <v>126</v>
      </c>
      <c r="D552" s="4" t="s">
        <v>11</v>
      </c>
      <c r="E552" s="5"/>
      <c r="F552" s="6">
        <v>394485</v>
      </c>
      <c r="G552" s="6"/>
      <c r="H552" s="19">
        <v>1134269</v>
      </c>
      <c r="I552" s="20"/>
      <c r="J552" s="20"/>
      <c r="K552" s="21"/>
      <c r="L552" s="16"/>
    </row>
    <row r="553" spans="1:12" x14ac:dyDescent="0.3">
      <c r="A553" s="17" t="s">
        <v>413</v>
      </c>
      <c r="B553" s="18"/>
      <c r="C553" s="3" t="s">
        <v>418</v>
      </c>
      <c r="D553" s="4" t="s">
        <v>11</v>
      </c>
      <c r="E553" s="5"/>
      <c r="F553" s="6"/>
      <c r="G553" s="6">
        <v>54215</v>
      </c>
      <c r="H553" s="19">
        <v>1528754</v>
      </c>
      <c r="I553" s="20"/>
      <c r="J553" s="20"/>
      <c r="K553" s="21"/>
      <c r="L553" s="16"/>
    </row>
    <row r="554" spans="1:12" x14ac:dyDescent="0.3">
      <c r="A554" s="17" t="s">
        <v>413</v>
      </c>
      <c r="B554" s="18"/>
      <c r="C554" s="3" t="s">
        <v>419</v>
      </c>
      <c r="D554" s="4" t="s">
        <v>11</v>
      </c>
      <c r="E554" s="5"/>
      <c r="F554" s="6"/>
      <c r="G554" s="6">
        <v>8568</v>
      </c>
      <c r="H554" s="19">
        <v>1474539</v>
      </c>
      <c r="I554" s="20"/>
      <c r="J554" s="20"/>
      <c r="K554" s="21"/>
      <c r="L554" s="16"/>
    </row>
    <row r="555" spans="1:12" x14ac:dyDescent="0.3">
      <c r="A555" s="17" t="s">
        <v>420</v>
      </c>
      <c r="B555" s="18"/>
      <c r="C555" s="3" t="s">
        <v>17</v>
      </c>
      <c r="D555" s="4" t="s">
        <v>18</v>
      </c>
      <c r="E555" s="5"/>
      <c r="F555" s="6"/>
      <c r="G555" s="6">
        <v>148056</v>
      </c>
      <c r="H555" s="19">
        <v>1465971</v>
      </c>
      <c r="I555" s="20"/>
      <c r="J555" s="20"/>
      <c r="K555" s="21"/>
      <c r="L555" s="16"/>
    </row>
    <row r="556" spans="1:12" x14ac:dyDescent="0.3">
      <c r="A556" s="17" t="s">
        <v>420</v>
      </c>
      <c r="B556" s="18"/>
      <c r="C556" s="3" t="s">
        <v>46</v>
      </c>
      <c r="D556" s="4" t="s">
        <v>11</v>
      </c>
      <c r="E556" s="5"/>
      <c r="F556" s="6"/>
      <c r="G556" s="6">
        <v>276633</v>
      </c>
      <c r="H556" s="19">
        <v>1317915</v>
      </c>
      <c r="I556" s="20"/>
      <c r="J556" s="20"/>
      <c r="K556" s="21"/>
      <c r="L556" s="16"/>
    </row>
    <row r="557" spans="1:12" x14ac:dyDescent="0.3">
      <c r="A557" s="17" t="s">
        <v>420</v>
      </c>
      <c r="B557" s="18"/>
      <c r="C557" s="3" t="s">
        <v>421</v>
      </c>
      <c r="D557" s="4" t="s">
        <v>11</v>
      </c>
      <c r="E557" s="5"/>
      <c r="F557" s="6"/>
      <c r="G557" s="6">
        <v>23980</v>
      </c>
      <c r="H557" s="19">
        <v>1041282</v>
      </c>
      <c r="I557" s="20"/>
      <c r="J557" s="20"/>
      <c r="K557" s="21"/>
      <c r="L557" s="16"/>
    </row>
    <row r="558" spans="1:12" x14ac:dyDescent="0.3">
      <c r="A558" s="17" t="s">
        <v>420</v>
      </c>
      <c r="B558" s="18"/>
      <c r="C558" s="3" t="s">
        <v>422</v>
      </c>
      <c r="D558" s="4" t="s">
        <v>11</v>
      </c>
      <c r="E558" s="5"/>
      <c r="F558" s="6"/>
      <c r="G558" s="6">
        <v>22868</v>
      </c>
      <c r="H558" s="19">
        <v>1017302</v>
      </c>
      <c r="I558" s="20"/>
      <c r="J558" s="20"/>
      <c r="K558" s="21"/>
      <c r="L558" s="16"/>
    </row>
    <row r="559" spans="1:12" x14ac:dyDescent="0.3">
      <c r="A559" s="17" t="s">
        <v>420</v>
      </c>
      <c r="B559" s="18"/>
      <c r="C559" s="3" t="s">
        <v>95</v>
      </c>
      <c r="D559" s="4" t="s">
        <v>11</v>
      </c>
      <c r="E559" s="5"/>
      <c r="F559" s="6"/>
      <c r="G559" s="6">
        <v>81539</v>
      </c>
      <c r="H559" s="19">
        <v>994434</v>
      </c>
      <c r="I559" s="20"/>
      <c r="J559" s="20"/>
      <c r="K559" s="21"/>
      <c r="L559" s="16"/>
    </row>
    <row r="560" spans="1:12" x14ac:dyDescent="0.3">
      <c r="A560" s="17" t="s">
        <v>420</v>
      </c>
      <c r="B560" s="18"/>
      <c r="C560" s="3" t="s">
        <v>423</v>
      </c>
      <c r="D560" s="4" t="s">
        <v>11</v>
      </c>
      <c r="E560" s="5"/>
      <c r="F560" s="6"/>
      <c r="G560" s="6">
        <v>196085</v>
      </c>
      <c r="H560" s="19">
        <v>912895</v>
      </c>
      <c r="I560" s="20"/>
      <c r="J560" s="20"/>
      <c r="K560" s="21"/>
      <c r="L560" s="16"/>
    </row>
    <row r="561" spans="1:12" x14ac:dyDescent="0.3">
      <c r="A561" s="17" t="s">
        <v>424</v>
      </c>
      <c r="B561" s="18"/>
      <c r="C561" s="3" t="s">
        <v>19</v>
      </c>
      <c r="D561" s="4" t="s">
        <v>18</v>
      </c>
      <c r="E561" s="5"/>
      <c r="F561" s="6">
        <v>1479352</v>
      </c>
      <c r="G561" s="6"/>
      <c r="H561" s="19">
        <v>716810</v>
      </c>
      <c r="I561" s="20"/>
      <c r="J561" s="20"/>
      <c r="K561" s="21"/>
      <c r="L561" s="16"/>
    </row>
    <row r="562" spans="1:12" x14ac:dyDescent="0.3">
      <c r="A562" s="17" t="s">
        <v>424</v>
      </c>
      <c r="B562" s="18"/>
      <c r="C562" s="3" t="s">
        <v>17</v>
      </c>
      <c r="D562" s="4" t="s">
        <v>18</v>
      </c>
      <c r="E562" s="5"/>
      <c r="F562" s="6"/>
      <c r="G562" s="6">
        <v>44380</v>
      </c>
      <c r="H562" s="19">
        <v>2196162</v>
      </c>
      <c r="I562" s="20"/>
      <c r="J562" s="20"/>
      <c r="K562" s="21"/>
      <c r="L562" s="16"/>
    </row>
    <row r="563" spans="1:12" x14ac:dyDescent="0.3">
      <c r="A563" s="17" t="s">
        <v>424</v>
      </c>
      <c r="B563" s="18"/>
      <c r="C563" s="3" t="s">
        <v>425</v>
      </c>
      <c r="D563" s="4" t="s">
        <v>11</v>
      </c>
      <c r="E563" s="5"/>
      <c r="F563" s="6"/>
      <c r="G563" s="6">
        <v>50400</v>
      </c>
      <c r="H563" s="19">
        <v>2151782</v>
      </c>
      <c r="I563" s="20"/>
      <c r="J563" s="20"/>
      <c r="K563" s="21"/>
      <c r="L563" s="16"/>
    </row>
    <row r="564" spans="1:12" x14ac:dyDescent="0.3">
      <c r="A564" s="17" t="s">
        <v>424</v>
      </c>
      <c r="B564" s="18"/>
      <c r="C564" s="3" t="s">
        <v>426</v>
      </c>
      <c r="D564" s="4" t="s">
        <v>11</v>
      </c>
      <c r="E564" s="5"/>
      <c r="F564" s="6"/>
      <c r="G564" s="6">
        <v>36939</v>
      </c>
      <c r="H564" s="19">
        <v>2101382</v>
      </c>
      <c r="I564" s="20"/>
      <c r="J564" s="20"/>
      <c r="K564" s="21"/>
      <c r="L564" s="16"/>
    </row>
    <row r="565" spans="1:12" x14ac:dyDescent="0.3">
      <c r="A565" s="17" t="s">
        <v>424</v>
      </c>
      <c r="B565" s="18"/>
      <c r="C565" s="3" t="s">
        <v>427</v>
      </c>
      <c r="D565" s="4" t="s">
        <v>11</v>
      </c>
      <c r="E565" s="5"/>
      <c r="F565" s="6"/>
      <c r="G565" s="6">
        <v>243613</v>
      </c>
      <c r="H565" s="19">
        <v>2064443</v>
      </c>
      <c r="I565" s="20"/>
      <c r="J565" s="20"/>
      <c r="K565" s="21"/>
      <c r="L565" s="16"/>
    </row>
    <row r="566" spans="1:12" x14ac:dyDescent="0.3">
      <c r="A566" s="17" t="s">
        <v>424</v>
      </c>
      <c r="B566" s="18"/>
      <c r="C566" s="3" t="s">
        <v>428</v>
      </c>
      <c r="D566" s="4" t="s">
        <v>11</v>
      </c>
      <c r="E566" s="5"/>
      <c r="F566" s="6"/>
      <c r="G566" s="6">
        <v>52370</v>
      </c>
      <c r="H566" s="19">
        <v>1820830</v>
      </c>
      <c r="I566" s="20"/>
      <c r="J566" s="20"/>
      <c r="K566" s="21"/>
      <c r="L566" s="16"/>
    </row>
    <row r="567" spans="1:12" x14ac:dyDescent="0.3">
      <c r="A567" s="17" t="s">
        <v>424</v>
      </c>
      <c r="B567" s="18"/>
      <c r="C567" s="3" t="s">
        <v>39</v>
      </c>
      <c r="D567" s="4" t="s">
        <v>11</v>
      </c>
      <c r="E567" s="5"/>
      <c r="F567" s="6"/>
      <c r="G567" s="6">
        <v>190000</v>
      </c>
      <c r="H567" s="19">
        <v>1768460</v>
      </c>
      <c r="I567" s="20"/>
      <c r="J567" s="20"/>
      <c r="K567" s="21"/>
      <c r="L567" s="16"/>
    </row>
    <row r="568" spans="1:12" x14ac:dyDescent="0.3">
      <c r="A568" s="17" t="s">
        <v>429</v>
      </c>
      <c r="B568" s="18"/>
      <c r="C568" s="3" t="s">
        <v>430</v>
      </c>
      <c r="D568" s="4" t="s">
        <v>11</v>
      </c>
      <c r="E568" s="5"/>
      <c r="F568" s="6"/>
      <c r="G568" s="6">
        <v>54090</v>
      </c>
      <c r="H568" s="19">
        <v>1578460</v>
      </c>
      <c r="I568" s="20"/>
      <c r="J568" s="20"/>
      <c r="K568" s="21"/>
      <c r="L568" s="16"/>
    </row>
    <row r="569" spans="1:12" x14ac:dyDescent="0.3">
      <c r="A569" s="17" t="s">
        <v>429</v>
      </c>
      <c r="B569" s="18"/>
      <c r="C569" s="3" t="s">
        <v>143</v>
      </c>
      <c r="D569" s="4" t="s">
        <v>18</v>
      </c>
      <c r="E569" s="5"/>
      <c r="F569" s="6">
        <v>17624</v>
      </c>
      <c r="G569" s="6"/>
      <c r="H569" s="19">
        <v>1524370</v>
      </c>
      <c r="I569" s="20"/>
      <c r="J569" s="20"/>
      <c r="K569" s="21"/>
      <c r="L569" s="16"/>
    </row>
    <row r="570" spans="1:12" x14ac:dyDescent="0.3">
      <c r="A570" s="17" t="s">
        <v>429</v>
      </c>
      <c r="B570" s="18"/>
      <c r="C570" s="3" t="s">
        <v>143</v>
      </c>
      <c r="D570" s="4" t="s">
        <v>18</v>
      </c>
      <c r="E570" s="5"/>
      <c r="F570" s="6">
        <v>7506</v>
      </c>
      <c r="G570" s="6"/>
      <c r="H570" s="19">
        <v>1541994</v>
      </c>
      <c r="I570" s="20"/>
      <c r="J570" s="20"/>
      <c r="K570" s="21"/>
      <c r="L570" s="16"/>
    </row>
    <row r="571" spans="1:12" x14ac:dyDescent="0.3">
      <c r="A571" s="17" t="s">
        <v>429</v>
      </c>
      <c r="B571" s="18"/>
      <c r="C571" s="3" t="s">
        <v>17</v>
      </c>
      <c r="D571" s="4" t="s">
        <v>18</v>
      </c>
      <c r="E571" s="5"/>
      <c r="F571" s="6"/>
      <c r="G571" s="6">
        <v>45548</v>
      </c>
      <c r="H571" s="19">
        <v>1549500</v>
      </c>
      <c r="I571" s="20"/>
      <c r="J571" s="20"/>
      <c r="K571" s="21"/>
      <c r="L571" s="16"/>
    </row>
    <row r="572" spans="1:12" x14ac:dyDescent="0.3">
      <c r="A572" s="17" t="s">
        <v>429</v>
      </c>
      <c r="B572" s="18"/>
      <c r="C572" s="3" t="s">
        <v>431</v>
      </c>
      <c r="D572" s="4" t="s">
        <v>11</v>
      </c>
      <c r="E572" s="5"/>
      <c r="F572" s="6"/>
      <c r="G572" s="6">
        <v>65173</v>
      </c>
      <c r="H572" s="19">
        <v>1503952</v>
      </c>
      <c r="I572" s="20"/>
      <c r="J572" s="20"/>
      <c r="K572" s="21"/>
      <c r="L572" s="16"/>
    </row>
    <row r="573" spans="1:12" x14ac:dyDescent="0.3">
      <c r="A573" s="17" t="s">
        <v>429</v>
      </c>
      <c r="B573" s="18"/>
      <c r="C573" s="3" t="s">
        <v>114</v>
      </c>
      <c r="D573" s="4" t="s">
        <v>18</v>
      </c>
      <c r="E573" s="5"/>
      <c r="F573" s="6"/>
      <c r="G573" s="6">
        <v>199896</v>
      </c>
      <c r="H573" s="19">
        <v>1438779</v>
      </c>
      <c r="I573" s="20"/>
      <c r="J573" s="20"/>
      <c r="K573" s="21"/>
      <c r="L573" s="16"/>
    </row>
    <row r="574" spans="1:12" x14ac:dyDescent="0.3">
      <c r="A574" s="17" t="s">
        <v>429</v>
      </c>
      <c r="B574" s="18"/>
      <c r="C574" s="3" t="s">
        <v>432</v>
      </c>
      <c r="D574" s="4" t="s">
        <v>11</v>
      </c>
      <c r="E574" s="5"/>
      <c r="F574" s="6"/>
      <c r="G574" s="6">
        <v>30879</v>
      </c>
      <c r="H574" s="19">
        <v>1238883</v>
      </c>
      <c r="I574" s="20"/>
      <c r="J574" s="20"/>
      <c r="K574" s="21"/>
      <c r="L574" s="16"/>
    </row>
    <row r="575" spans="1:12" x14ac:dyDescent="0.3">
      <c r="A575" s="17" t="s">
        <v>433</v>
      </c>
      <c r="B575" s="18"/>
      <c r="C575" s="3" t="s">
        <v>152</v>
      </c>
      <c r="D575" s="4" t="s">
        <v>9</v>
      </c>
      <c r="E575" s="5"/>
      <c r="F575" s="6">
        <v>19638</v>
      </c>
      <c r="G575" s="6"/>
      <c r="H575" s="19">
        <v>1208004</v>
      </c>
      <c r="I575" s="20"/>
      <c r="J575" s="20"/>
      <c r="K575" s="21"/>
      <c r="L575" s="16"/>
    </row>
    <row r="576" spans="1:12" x14ac:dyDescent="0.3">
      <c r="A576" s="17" t="s">
        <v>433</v>
      </c>
      <c r="B576" s="18"/>
      <c r="C576" s="3" t="s">
        <v>153</v>
      </c>
      <c r="D576" s="4" t="s">
        <v>9</v>
      </c>
      <c r="E576" s="5"/>
      <c r="F576" s="6">
        <v>1648</v>
      </c>
      <c r="G576" s="6"/>
      <c r="H576" s="19">
        <v>1227642</v>
      </c>
      <c r="I576" s="20"/>
      <c r="J576" s="20"/>
      <c r="K576" s="21"/>
      <c r="L576" s="16"/>
    </row>
    <row r="577" spans="1:12" x14ac:dyDescent="0.3">
      <c r="A577" s="17" t="s">
        <v>433</v>
      </c>
      <c r="B577" s="18"/>
      <c r="C577" s="3" t="s">
        <v>434</v>
      </c>
      <c r="D577" s="4" t="s">
        <v>11</v>
      </c>
      <c r="E577" s="5"/>
      <c r="F577" s="6"/>
      <c r="G577" s="6">
        <v>54963</v>
      </c>
      <c r="H577" s="19">
        <v>1229290</v>
      </c>
      <c r="I577" s="20"/>
      <c r="J577" s="20"/>
      <c r="K577" s="21"/>
      <c r="L577" s="16"/>
    </row>
    <row r="578" spans="1:12" x14ac:dyDescent="0.3">
      <c r="A578" s="17" t="s">
        <v>433</v>
      </c>
      <c r="B578" s="18"/>
      <c r="C578" s="3" t="s">
        <v>435</v>
      </c>
      <c r="D578" s="4" t="s">
        <v>11</v>
      </c>
      <c r="E578" s="5"/>
      <c r="F578" s="6"/>
      <c r="G578" s="6">
        <v>124742</v>
      </c>
      <c r="H578" s="19">
        <v>1174327</v>
      </c>
      <c r="I578" s="20"/>
      <c r="J578" s="20"/>
      <c r="K578" s="21"/>
      <c r="L578" s="16"/>
    </row>
    <row r="579" spans="1:12" x14ac:dyDescent="0.3">
      <c r="A579" s="17" t="s">
        <v>433</v>
      </c>
      <c r="B579" s="18"/>
      <c r="C579" s="3" t="s">
        <v>12</v>
      </c>
      <c r="D579" s="4" t="s">
        <v>11</v>
      </c>
      <c r="E579" s="5"/>
      <c r="F579" s="6"/>
      <c r="G579" s="6">
        <v>1333659</v>
      </c>
      <c r="H579" s="19">
        <v>1049585</v>
      </c>
      <c r="I579" s="20"/>
      <c r="J579" s="20"/>
      <c r="K579" s="21"/>
      <c r="L579" s="16"/>
    </row>
    <row r="580" spans="1:12" x14ac:dyDescent="0.3">
      <c r="A580" s="17" t="s">
        <v>433</v>
      </c>
      <c r="B580" s="18"/>
      <c r="C580" s="3" t="s">
        <v>19</v>
      </c>
      <c r="D580" s="4" t="s">
        <v>18</v>
      </c>
      <c r="E580" s="5"/>
      <c r="F580" s="6">
        <v>6470643</v>
      </c>
      <c r="G580" s="6"/>
      <c r="H580" s="19">
        <v>-284074</v>
      </c>
      <c r="I580" s="20"/>
      <c r="J580" s="20"/>
      <c r="K580" s="21"/>
      <c r="L580" s="16"/>
    </row>
    <row r="581" spans="1:12" x14ac:dyDescent="0.3">
      <c r="A581" s="17" t="s">
        <v>433</v>
      </c>
      <c r="B581" s="18"/>
      <c r="C581" s="3" t="s">
        <v>436</v>
      </c>
      <c r="D581" s="4" t="s">
        <v>11</v>
      </c>
      <c r="E581" s="5"/>
      <c r="F581" s="6"/>
      <c r="G581" s="6">
        <v>23980</v>
      </c>
      <c r="H581" s="19">
        <v>6186569</v>
      </c>
      <c r="I581" s="20"/>
      <c r="J581" s="20"/>
      <c r="K581" s="21"/>
      <c r="L581" s="16"/>
    </row>
    <row r="582" spans="1:12" x14ac:dyDescent="0.3">
      <c r="A582" s="17" t="s">
        <v>433</v>
      </c>
      <c r="B582" s="18"/>
      <c r="C582" s="3" t="s">
        <v>437</v>
      </c>
      <c r="D582" s="4" t="s">
        <v>11</v>
      </c>
      <c r="E582" s="5"/>
      <c r="F582" s="6"/>
      <c r="G582" s="6">
        <v>29970</v>
      </c>
      <c r="H582" s="19">
        <v>6162589</v>
      </c>
      <c r="I582" s="20"/>
      <c r="J582" s="20"/>
      <c r="K582" s="21"/>
      <c r="L582" s="16"/>
    </row>
    <row r="583" spans="1:12" x14ac:dyDescent="0.3">
      <c r="A583" s="17" t="s">
        <v>433</v>
      </c>
      <c r="B583" s="18"/>
      <c r="C583" s="3" t="s">
        <v>17</v>
      </c>
      <c r="D583" s="4" t="s">
        <v>18</v>
      </c>
      <c r="E583" s="5"/>
      <c r="F583" s="6"/>
      <c r="G583" s="6">
        <v>159374</v>
      </c>
      <c r="H583" s="19">
        <v>6132619</v>
      </c>
      <c r="I583" s="20"/>
      <c r="J583" s="20"/>
      <c r="K583" s="21"/>
      <c r="L583" s="16"/>
    </row>
    <row r="584" spans="1:12" x14ac:dyDescent="0.3">
      <c r="A584" s="17" t="s">
        <v>433</v>
      </c>
      <c r="B584" s="18"/>
      <c r="C584" s="3" t="s">
        <v>295</v>
      </c>
      <c r="D584" s="4" t="s">
        <v>11</v>
      </c>
      <c r="E584" s="5"/>
      <c r="F584" s="6"/>
      <c r="G584" s="6">
        <v>50099</v>
      </c>
      <c r="H584" s="19">
        <v>5973245</v>
      </c>
      <c r="I584" s="20"/>
      <c r="J584" s="20"/>
      <c r="K584" s="21"/>
      <c r="L584" s="16"/>
    </row>
    <row r="585" spans="1:12" x14ac:dyDescent="0.3">
      <c r="A585" s="17" t="s">
        <v>433</v>
      </c>
      <c r="B585" s="18"/>
      <c r="C585" s="3" t="s">
        <v>438</v>
      </c>
      <c r="D585" s="4" t="s">
        <v>11</v>
      </c>
      <c r="E585" s="5"/>
      <c r="F585" s="6"/>
      <c r="G585" s="6">
        <v>18320</v>
      </c>
      <c r="H585" s="19">
        <v>5923146</v>
      </c>
      <c r="I585" s="20"/>
      <c r="J585" s="20"/>
      <c r="K585" s="21"/>
      <c r="L585" s="16"/>
    </row>
    <row r="586" spans="1:12" x14ac:dyDescent="0.3">
      <c r="A586" s="17" t="s">
        <v>433</v>
      </c>
      <c r="B586" s="18"/>
      <c r="C586" s="3" t="s">
        <v>150</v>
      </c>
      <c r="D586" s="4" t="s">
        <v>11</v>
      </c>
      <c r="E586" s="5"/>
      <c r="F586" s="6">
        <v>700000</v>
      </c>
      <c r="G586" s="6"/>
      <c r="H586" s="19">
        <v>5904826</v>
      </c>
      <c r="I586" s="20"/>
      <c r="J586" s="20"/>
      <c r="K586" s="21"/>
      <c r="L586" s="16"/>
    </row>
    <row r="587" spans="1:12" x14ac:dyDescent="0.3">
      <c r="A587" s="17" t="s">
        <v>433</v>
      </c>
      <c r="B587" s="18"/>
      <c r="C587" s="3" t="s">
        <v>148</v>
      </c>
      <c r="D587" s="4" t="s">
        <v>11</v>
      </c>
      <c r="E587" s="5"/>
      <c r="F587" s="6">
        <v>90000</v>
      </c>
      <c r="G587" s="6"/>
      <c r="H587" s="19">
        <v>6604826</v>
      </c>
      <c r="I587" s="20"/>
      <c r="J587" s="20"/>
      <c r="K587" s="21"/>
      <c r="L587" s="16"/>
    </row>
    <row r="588" spans="1:12" x14ac:dyDescent="0.3">
      <c r="A588" s="17" t="s">
        <v>433</v>
      </c>
      <c r="B588" s="18"/>
      <c r="C588" s="3" t="s">
        <v>149</v>
      </c>
      <c r="D588" s="4" t="s">
        <v>11</v>
      </c>
      <c r="E588" s="5"/>
      <c r="F588" s="6">
        <v>95000</v>
      </c>
      <c r="G588" s="6"/>
      <c r="H588" s="19">
        <v>6694826</v>
      </c>
      <c r="I588" s="20"/>
      <c r="J588" s="20"/>
      <c r="K588" s="21"/>
      <c r="L588" s="16"/>
    </row>
    <row r="589" spans="1:12" x14ac:dyDescent="0.3">
      <c r="A589" s="17" t="s">
        <v>433</v>
      </c>
      <c r="B589" s="18"/>
      <c r="C589" s="3" t="s">
        <v>439</v>
      </c>
      <c r="D589" s="4" t="s">
        <v>11</v>
      </c>
      <c r="E589" s="5"/>
      <c r="F589" s="6"/>
      <c r="G589" s="6">
        <v>25849</v>
      </c>
      <c r="H589" s="19">
        <v>6789826</v>
      </c>
      <c r="I589" s="20"/>
      <c r="J589" s="20"/>
      <c r="K589" s="21"/>
      <c r="L589" s="16"/>
    </row>
    <row r="590" spans="1:12" x14ac:dyDescent="0.3">
      <c r="A590" s="17" t="s">
        <v>433</v>
      </c>
      <c r="B590" s="18"/>
      <c r="C590" s="3" t="s">
        <v>99</v>
      </c>
      <c r="D590" s="4" t="s">
        <v>11</v>
      </c>
      <c r="E590" s="5"/>
      <c r="F590" s="6"/>
      <c r="G590" s="6">
        <v>53976</v>
      </c>
      <c r="H590" s="19">
        <v>6763977</v>
      </c>
      <c r="I590" s="20"/>
      <c r="J590" s="20"/>
      <c r="K590" s="21"/>
      <c r="L590" s="16"/>
    </row>
    <row r="591" spans="1:12" x14ac:dyDescent="0.3">
      <c r="A591" s="17" t="s">
        <v>433</v>
      </c>
      <c r="B591" s="18"/>
      <c r="C591" s="3" t="s">
        <v>440</v>
      </c>
      <c r="D591" s="4" t="s">
        <v>11</v>
      </c>
      <c r="E591" s="5"/>
      <c r="F591" s="6"/>
      <c r="G591" s="6">
        <v>354484</v>
      </c>
      <c r="H591" s="19">
        <v>6710001</v>
      </c>
      <c r="I591" s="20"/>
      <c r="J591" s="20"/>
      <c r="K591" s="21"/>
      <c r="L591" s="16"/>
    </row>
    <row r="592" spans="1:12" x14ac:dyDescent="0.3">
      <c r="A592" s="17" t="s">
        <v>433</v>
      </c>
      <c r="B592" s="18"/>
      <c r="C592" s="3" t="s">
        <v>441</v>
      </c>
      <c r="D592" s="4" t="s">
        <v>11</v>
      </c>
      <c r="E592" s="5"/>
      <c r="F592" s="6"/>
      <c r="G592" s="6">
        <v>19580</v>
      </c>
      <c r="H592" s="19">
        <v>6355517</v>
      </c>
      <c r="I592" s="20"/>
      <c r="J592" s="20"/>
      <c r="K592" s="21"/>
      <c r="L592" s="16"/>
    </row>
    <row r="593" spans="1:12" x14ac:dyDescent="0.3">
      <c r="A593" s="17" t="s">
        <v>433</v>
      </c>
      <c r="B593" s="18"/>
      <c r="C593" s="3" t="s">
        <v>442</v>
      </c>
      <c r="D593" s="4" t="s">
        <v>11</v>
      </c>
      <c r="E593" s="5"/>
      <c r="F593" s="6"/>
      <c r="G593" s="6">
        <v>167289</v>
      </c>
      <c r="H593" s="19">
        <v>6335937</v>
      </c>
      <c r="I593" s="20"/>
      <c r="J593" s="20"/>
      <c r="K593" s="21"/>
      <c r="L593" s="16"/>
    </row>
    <row r="594" spans="1:12" x14ac:dyDescent="0.3">
      <c r="A594" s="17" t="s">
        <v>443</v>
      </c>
      <c r="B594" s="18"/>
      <c r="C594" s="3" t="s">
        <v>28</v>
      </c>
      <c r="D594" s="4" t="s">
        <v>18</v>
      </c>
      <c r="E594" s="5"/>
      <c r="F594" s="6">
        <v>217257</v>
      </c>
      <c r="G594" s="6"/>
      <c r="H594" s="19">
        <v>6168648</v>
      </c>
      <c r="I594" s="20"/>
      <c r="J594" s="20"/>
      <c r="K594" s="21"/>
      <c r="L594" s="16"/>
    </row>
    <row r="595" spans="1:12" x14ac:dyDescent="0.3">
      <c r="A595" s="17" t="s">
        <v>443</v>
      </c>
      <c r="B595" s="18"/>
      <c r="C595" s="3" t="s">
        <v>444</v>
      </c>
      <c r="D595" s="4" t="s">
        <v>11</v>
      </c>
      <c r="E595" s="5"/>
      <c r="F595" s="6"/>
      <c r="G595" s="6">
        <v>148379</v>
      </c>
      <c r="H595" s="19">
        <v>6385905</v>
      </c>
      <c r="I595" s="20"/>
      <c r="J595" s="20"/>
      <c r="K595" s="21"/>
      <c r="L595" s="16"/>
    </row>
    <row r="596" spans="1:12" x14ac:dyDescent="0.3">
      <c r="A596" s="17" t="s">
        <v>443</v>
      </c>
      <c r="B596" s="18"/>
      <c r="C596" s="3" t="s">
        <v>45</v>
      </c>
      <c r="D596" s="4" t="s">
        <v>18</v>
      </c>
      <c r="E596" s="5"/>
      <c r="F596" s="6"/>
      <c r="G596" s="6">
        <v>367610</v>
      </c>
      <c r="H596" s="19">
        <v>6237526</v>
      </c>
      <c r="I596" s="20"/>
      <c r="J596" s="20"/>
      <c r="K596" s="21"/>
      <c r="L596" s="16"/>
    </row>
    <row r="597" spans="1:12" x14ac:dyDescent="0.3">
      <c r="A597" s="17" t="s">
        <v>443</v>
      </c>
      <c r="B597" s="18"/>
      <c r="C597" s="3" t="s">
        <v>306</v>
      </c>
      <c r="D597" s="4" t="s">
        <v>11</v>
      </c>
      <c r="E597" s="5"/>
      <c r="F597" s="6"/>
      <c r="G597" s="6">
        <v>488564</v>
      </c>
      <c r="H597" s="19">
        <v>5869916</v>
      </c>
      <c r="I597" s="20"/>
      <c r="J597" s="20"/>
      <c r="K597" s="21"/>
      <c r="L597" s="16"/>
    </row>
    <row r="598" spans="1:12" x14ac:dyDescent="0.3">
      <c r="A598" s="17" t="s">
        <v>443</v>
      </c>
      <c r="B598" s="18"/>
      <c r="C598" s="3" t="s">
        <v>31</v>
      </c>
      <c r="D598" s="4" t="s">
        <v>18</v>
      </c>
      <c r="E598" s="5"/>
      <c r="F598" s="6"/>
      <c r="G598" s="6">
        <v>186261</v>
      </c>
      <c r="H598" s="19">
        <v>5381352</v>
      </c>
      <c r="I598" s="20"/>
      <c r="J598" s="20"/>
      <c r="K598" s="21"/>
      <c r="L598" s="16"/>
    </row>
    <row r="599" spans="1:12" x14ac:dyDescent="0.3">
      <c r="A599" s="17" t="s">
        <v>443</v>
      </c>
      <c r="B599" s="18"/>
      <c r="C599" s="3" t="s">
        <v>31</v>
      </c>
      <c r="D599" s="4" t="s">
        <v>18</v>
      </c>
      <c r="E599" s="5"/>
      <c r="F599" s="6"/>
      <c r="G599" s="6">
        <v>636802</v>
      </c>
      <c r="H599" s="19">
        <v>5195091</v>
      </c>
      <c r="I599" s="20"/>
      <c r="J599" s="20"/>
      <c r="K599" s="21"/>
      <c r="L599" s="16"/>
    </row>
    <row r="600" spans="1:12" x14ac:dyDescent="0.3">
      <c r="A600" s="17" t="s">
        <v>443</v>
      </c>
      <c r="B600" s="18"/>
      <c r="C600" s="3" t="s">
        <v>32</v>
      </c>
      <c r="D600" s="4" t="s">
        <v>18</v>
      </c>
      <c r="E600" s="5"/>
      <c r="F600" s="6"/>
      <c r="G600" s="6">
        <v>205632</v>
      </c>
      <c r="H600" s="19">
        <v>4558289</v>
      </c>
      <c r="I600" s="20"/>
      <c r="J600" s="20"/>
      <c r="K600" s="21"/>
      <c r="L600" s="16"/>
    </row>
    <row r="601" spans="1:12" x14ac:dyDescent="0.3">
      <c r="A601" s="17" t="s">
        <v>443</v>
      </c>
      <c r="B601" s="18"/>
      <c r="C601" s="3" t="s">
        <v>445</v>
      </c>
      <c r="D601" s="4" t="s">
        <v>11</v>
      </c>
      <c r="E601" s="5"/>
      <c r="F601" s="6"/>
      <c r="G601" s="6">
        <v>85406</v>
      </c>
      <c r="H601" s="19">
        <v>4352657</v>
      </c>
      <c r="I601" s="20"/>
      <c r="J601" s="20"/>
      <c r="K601" s="21"/>
      <c r="L601" s="16"/>
    </row>
    <row r="602" spans="1:12" x14ac:dyDescent="0.3">
      <c r="A602" s="17" t="s">
        <v>443</v>
      </c>
      <c r="B602" s="18"/>
      <c r="C602" s="3" t="s">
        <v>446</v>
      </c>
      <c r="D602" s="4" t="s">
        <v>11</v>
      </c>
      <c r="E602" s="5"/>
      <c r="F602" s="6"/>
      <c r="G602" s="6">
        <v>52975</v>
      </c>
      <c r="H602" s="19">
        <v>4267251</v>
      </c>
      <c r="I602" s="20"/>
      <c r="J602" s="20"/>
      <c r="K602" s="21"/>
      <c r="L602" s="16"/>
    </row>
    <row r="603" spans="1:12" x14ac:dyDescent="0.3">
      <c r="A603" s="17" t="s">
        <v>447</v>
      </c>
      <c r="B603" s="18"/>
      <c r="C603" s="3" t="s">
        <v>162</v>
      </c>
      <c r="D603" s="4" t="s">
        <v>11</v>
      </c>
      <c r="E603" s="5"/>
      <c r="F603" s="6"/>
      <c r="G603" s="6">
        <v>120678</v>
      </c>
      <c r="H603" s="19">
        <v>1569770</v>
      </c>
      <c r="I603" s="20"/>
      <c r="J603" s="20"/>
      <c r="K603" s="21"/>
    </row>
    <row r="604" spans="1:12" x14ac:dyDescent="0.3">
      <c r="A604" s="17" t="s">
        <v>447</v>
      </c>
      <c r="B604" s="18"/>
      <c r="C604" s="3" t="s">
        <v>448</v>
      </c>
      <c r="D604" s="4" t="s">
        <v>11</v>
      </c>
      <c r="E604" s="5"/>
      <c r="F604" s="6"/>
      <c r="G604" s="6">
        <v>58800</v>
      </c>
      <c r="H604" s="19">
        <v>1449092</v>
      </c>
      <c r="I604" s="20"/>
      <c r="J604" s="20"/>
      <c r="K604" s="21"/>
    </row>
    <row r="605" spans="1:12" x14ac:dyDescent="0.3">
      <c r="A605" s="17" t="s">
        <v>447</v>
      </c>
      <c r="B605" s="18"/>
      <c r="C605" s="3" t="s">
        <v>288</v>
      </c>
      <c r="D605" s="4" t="s">
        <v>11</v>
      </c>
      <c r="E605" s="5"/>
      <c r="F605" s="6"/>
      <c r="G605" s="6">
        <v>66959</v>
      </c>
      <c r="H605" s="19">
        <v>1390292</v>
      </c>
      <c r="I605" s="20"/>
      <c r="J605" s="20"/>
      <c r="K605" s="21"/>
    </row>
    <row r="606" spans="1:12" x14ac:dyDescent="0.3">
      <c r="A606" s="17" t="s">
        <v>447</v>
      </c>
      <c r="B606" s="18"/>
      <c r="C606" s="3" t="s">
        <v>17</v>
      </c>
      <c r="D606" s="4" t="s">
        <v>18</v>
      </c>
      <c r="E606" s="5"/>
      <c r="F606" s="6"/>
      <c r="G606" s="6">
        <v>154295</v>
      </c>
      <c r="H606" s="19">
        <v>1323333</v>
      </c>
      <c r="I606" s="20"/>
      <c r="J606" s="20"/>
      <c r="K606" s="21"/>
    </row>
    <row r="607" spans="1:12" x14ac:dyDescent="0.3">
      <c r="A607" s="17" t="s">
        <v>447</v>
      </c>
      <c r="B607" s="18"/>
      <c r="C607" s="3" t="s">
        <v>449</v>
      </c>
      <c r="D607" s="4" t="s">
        <v>11</v>
      </c>
      <c r="E607" s="5"/>
      <c r="F607" s="6"/>
      <c r="G607" s="6">
        <v>51590</v>
      </c>
      <c r="H607" s="19">
        <v>1169038</v>
      </c>
      <c r="I607" s="20"/>
      <c r="J607" s="20"/>
      <c r="K607" s="21"/>
    </row>
    <row r="608" spans="1:12" x14ac:dyDescent="0.3">
      <c r="A608" s="17" t="s">
        <v>447</v>
      </c>
      <c r="B608" s="18"/>
      <c r="C608" s="3" t="s">
        <v>450</v>
      </c>
      <c r="D608" s="4" t="s">
        <v>18</v>
      </c>
      <c r="E608" s="5"/>
      <c r="F608" s="6"/>
      <c r="G608" s="6">
        <v>89321</v>
      </c>
      <c r="H608" s="19">
        <v>1117448</v>
      </c>
      <c r="I608" s="20"/>
      <c r="J608" s="20"/>
      <c r="K608" s="21"/>
    </row>
    <row r="609" spans="1:11" x14ac:dyDescent="0.3">
      <c r="A609" s="17" t="s">
        <v>447</v>
      </c>
      <c r="B609" s="18"/>
      <c r="C609" s="3" t="s">
        <v>154</v>
      </c>
      <c r="D609" s="4" t="s">
        <v>18</v>
      </c>
      <c r="E609" s="5"/>
      <c r="F609" s="6"/>
      <c r="G609" s="6">
        <v>214200</v>
      </c>
      <c r="H609" s="19">
        <v>1028127</v>
      </c>
      <c r="I609" s="20"/>
      <c r="J609" s="20"/>
      <c r="K609" s="21"/>
    </row>
    <row r="610" spans="1:11" x14ac:dyDescent="0.3">
      <c r="A610" s="17" t="s">
        <v>447</v>
      </c>
      <c r="B610" s="18"/>
      <c r="C610" s="3" t="s">
        <v>137</v>
      </c>
      <c r="D610" s="4" t="s">
        <v>18</v>
      </c>
      <c r="E610" s="5"/>
      <c r="F610" s="6"/>
      <c r="G610" s="6">
        <v>47208</v>
      </c>
      <c r="H610" s="19">
        <v>813927</v>
      </c>
      <c r="I610" s="20"/>
      <c r="J610" s="20"/>
      <c r="K610" s="21"/>
    </row>
    <row r="611" spans="1:11" x14ac:dyDescent="0.3">
      <c r="A611" s="17" t="s">
        <v>447</v>
      </c>
      <c r="B611" s="18"/>
      <c r="C611" s="3" t="s">
        <v>21</v>
      </c>
      <c r="D611" s="4" t="s">
        <v>18</v>
      </c>
      <c r="E611" s="5"/>
      <c r="F611" s="6"/>
      <c r="G611" s="6">
        <v>32980</v>
      </c>
      <c r="H611" s="19">
        <v>766719</v>
      </c>
      <c r="I611" s="20"/>
      <c r="J611" s="20"/>
      <c r="K611" s="21"/>
    </row>
    <row r="612" spans="1:11" x14ac:dyDescent="0.3">
      <c r="A612" s="17" t="s">
        <v>447</v>
      </c>
      <c r="B612" s="18"/>
      <c r="C612" s="3" t="s">
        <v>330</v>
      </c>
      <c r="D612" s="4" t="s">
        <v>11</v>
      </c>
      <c r="E612" s="5"/>
      <c r="F612" s="6"/>
      <c r="G612" s="6">
        <v>56000</v>
      </c>
      <c r="H612" s="19">
        <v>733739</v>
      </c>
      <c r="I612" s="20"/>
      <c r="J612" s="20"/>
      <c r="K612" s="21"/>
    </row>
    <row r="613" spans="1:11" x14ac:dyDescent="0.3">
      <c r="A613" s="17" t="s">
        <v>447</v>
      </c>
      <c r="B613" s="18"/>
      <c r="C613" s="3" t="s">
        <v>451</v>
      </c>
      <c r="D613" s="4" t="s">
        <v>11</v>
      </c>
      <c r="E613" s="5"/>
      <c r="F613" s="6"/>
      <c r="G613" s="6">
        <v>248234</v>
      </c>
      <c r="H613" s="19">
        <v>677739</v>
      </c>
      <c r="I613" s="20"/>
      <c r="J613" s="20"/>
      <c r="K613" s="21"/>
    </row>
    <row r="614" spans="1:11" x14ac:dyDescent="0.3">
      <c r="A614" s="17" t="s">
        <v>452</v>
      </c>
      <c r="B614" s="18"/>
      <c r="C614" s="3" t="s">
        <v>453</v>
      </c>
      <c r="D614" s="4" t="s">
        <v>11</v>
      </c>
      <c r="E614" s="5"/>
      <c r="F614" s="6"/>
      <c r="G614" s="6">
        <v>63225</v>
      </c>
      <c r="H614" s="19">
        <v>429505</v>
      </c>
      <c r="I614" s="20"/>
      <c r="J614" s="20"/>
      <c r="K614" s="21"/>
    </row>
    <row r="615" spans="1:11" x14ac:dyDescent="0.3">
      <c r="A615" s="17" t="s">
        <v>452</v>
      </c>
      <c r="B615" s="18"/>
      <c r="C615" s="3" t="s">
        <v>421</v>
      </c>
      <c r="D615" s="4" t="s">
        <v>11</v>
      </c>
      <c r="E615" s="5"/>
      <c r="F615" s="6"/>
      <c r="G615" s="6">
        <v>69020</v>
      </c>
      <c r="H615" s="19">
        <v>366280</v>
      </c>
      <c r="I615" s="20"/>
      <c r="J615" s="20"/>
      <c r="K615" s="21"/>
    </row>
    <row r="616" spans="1:11" x14ac:dyDescent="0.3">
      <c r="A616" s="17" t="s">
        <v>452</v>
      </c>
      <c r="B616" s="18"/>
      <c r="C616" s="3" t="s">
        <v>27</v>
      </c>
      <c r="D616" s="4" t="s">
        <v>18</v>
      </c>
      <c r="E616" s="5"/>
      <c r="F616" s="6">
        <v>400000</v>
      </c>
      <c r="G616" s="6"/>
      <c r="H616" s="19">
        <v>297260</v>
      </c>
      <c r="I616" s="20"/>
      <c r="J616" s="20"/>
      <c r="K616" s="21"/>
    </row>
    <row r="617" spans="1:11" x14ac:dyDescent="0.3">
      <c r="A617" s="17" t="s">
        <v>452</v>
      </c>
      <c r="B617" s="18"/>
      <c r="C617" s="3" t="s">
        <v>454</v>
      </c>
      <c r="D617" s="4" t="s">
        <v>18</v>
      </c>
      <c r="E617" s="5"/>
      <c r="F617" s="6">
        <v>8623646</v>
      </c>
      <c r="G617" s="6"/>
      <c r="H617" s="19">
        <v>697260</v>
      </c>
      <c r="I617" s="20"/>
      <c r="J617" s="20"/>
      <c r="K617" s="21"/>
    </row>
    <row r="618" spans="1:11" x14ac:dyDescent="0.3">
      <c r="A618" s="17" t="s">
        <v>452</v>
      </c>
      <c r="B618" s="18"/>
      <c r="C618" s="3" t="s">
        <v>28</v>
      </c>
      <c r="D618" s="4" t="s">
        <v>18</v>
      </c>
      <c r="E618" s="5"/>
      <c r="F618" s="6">
        <v>193630</v>
      </c>
      <c r="G618" s="6"/>
      <c r="H618" s="19">
        <v>9320906</v>
      </c>
      <c r="I618" s="20"/>
      <c r="J618" s="20"/>
      <c r="K618" s="21"/>
    </row>
    <row r="619" spans="1:11" x14ac:dyDescent="0.3">
      <c r="A619" s="17" t="s">
        <v>452</v>
      </c>
      <c r="B619" s="18"/>
      <c r="C619" s="3" t="s">
        <v>455</v>
      </c>
      <c r="D619" s="4" t="s">
        <v>11</v>
      </c>
      <c r="E619" s="5"/>
      <c r="F619" s="6"/>
      <c r="G619" s="6">
        <v>25990</v>
      </c>
      <c r="H619" s="19">
        <v>9514536</v>
      </c>
      <c r="I619" s="20"/>
      <c r="J619" s="20"/>
      <c r="K619" s="21"/>
    </row>
    <row r="620" spans="1:11" x14ac:dyDescent="0.3">
      <c r="A620" s="17" t="s">
        <v>452</v>
      </c>
      <c r="B620" s="18"/>
      <c r="C620" s="3" t="s">
        <v>17</v>
      </c>
      <c r="D620" s="4" t="s">
        <v>18</v>
      </c>
      <c r="E620" s="5"/>
      <c r="F620" s="6"/>
      <c r="G620" s="6">
        <v>54559</v>
      </c>
      <c r="H620" s="19">
        <v>9488546</v>
      </c>
      <c r="I620" s="20"/>
      <c r="J620" s="20"/>
      <c r="K620" s="21"/>
    </row>
    <row r="621" spans="1:11" x14ac:dyDescent="0.3">
      <c r="A621" s="17" t="s">
        <v>452</v>
      </c>
      <c r="B621" s="18"/>
      <c r="C621" s="3" t="s">
        <v>22</v>
      </c>
      <c r="D621" s="4" t="s">
        <v>18</v>
      </c>
      <c r="E621" s="5"/>
      <c r="F621" s="6">
        <v>8087</v>
      </c>
      <c r="G621" s="6"/>
      <c r="H621" s="19">
        <v>9433987</v>
      </c>
      <c r="I621" s="20"/>
      <c r="J621" s="20"/>
      <c r="K621" s="21"/>
    </row>
    <row r="622" spans="1:11" x14ac:dyDescent="0.3">
      <c r="A622" s="17" t="s">
        <v>452</v>
      </c>
      <c r="B622" s="18"/>
      <c r="C622" s="3" t="s">
        <v>144</v>
      </c>
      <c r="D622" s="4" t="s">
        <v>11</v>
      </c>
      <c r="E622" s="5"/>
      <c r="F622" s="6"/>
      <c r="G622" s="6">
        <v>341307</v>
      </c>
      <c r="H622" s="19">
        <v>9442074</v>
      </c>
      <c r="I622" s="20"/>
      <c r="J622" s="20"/>
      <c r="K622" s="21"/>
    </row>
    <row r="623" spans="1:11" x14ac:dyDescent="0.3">
      <c r="A623" s="17" t="s">
        <v>452</v>
      </c>
      <c r="B623" s="18"/>
      <c r="C623" s="3" t="s">
        <v>105</v>
      </c>
      <c r="D623" s="4" t="s">
        <v>11</v>
      </c>
      <c r="E623" s="5"/>
      <c r="F623" s="6"/>
      <c r="G623" s="6">
        <v>75953</v>
      </c>
      <c r="H623" s="19">
        <v>9100767</v>
      </c>
      <c r="I623" s="20"/>
      <c r="J623" s="20"/>
      <c r="K623" s="21"/>
    </row>
    <row r="624" spans="1:11" x14ac:dyDescent="0.3">
      <c r="A624" s="17" t="s">
        <v>456</v>
      </c>
      <c r="B624" s="18"/>
      <c r="C624" s="3" t="s">
        <v>48</v>
      </c>
      <c r="D624" s="4" t="s">
        <v>9</v>
      </c>
      <c r="E624" s="5"/>
      <c r="F624" s="6">
        <v>7287</v>
      </c>
      <c r="G624" s="6"/>
      <c r="H624" s="19">
        <v>9024814</v>
      </c>
      <c r="I624" s="20"/>
      <c r="J624" s="20"/>
      <c r="K624" s="21"/>
    </row>
    <row r="625" spans="1:11" x14ac:dyDescent="0.3">
      <c r="A625" s="17" t="s">
        <v>456</v>
      </c>
      <c r="B625" s="18"/>
      <c r="C625" s="3" t="s">
        <v>49</v>
      </c>
      <c r="D625" s="4" t="s">
        <v>18</v>
      </c>
      <c r="E625" s="5"/>
      <c r="F625" s="6"/>
      <c r="G625" s="6">
        <v>8331409</v>
      </c>
      <c r="H625" s="19">
        <v>9032101</v>
      </c>
      <c r="I625" s="20"/>
      <c r="J625" s="20"/>
      <c r="K625" s="21"/>
    </row>
    <row r="626" spans="1:11" x14ac:dyDescent="0.3">
      <c r="A626" s="17" t="s">
        <v>456</v>
      </c>
      <c r="B626" s="18"/>
      <c r="C626" s="3" t="s">
        <v>17</v>
      </c>
      <c r="D626" s="4" t="s">
        <v>18</v>
      </c>
      <c r="E626" s="5"/>
      <c r="F626" s="6"/>
      <c r="G626" s="6">
        <v>337355</v>
      </c>
      <c r="H626" s="19">
        <v>700692</v>
      </c>
      <c r="I626" s="20"/>
      <c r="J626" s="20"/>
      <c r="K626" s="21"/>
    </row>
    <row r="627" spans="1:11" x14ac:dyDescent="0.3">
      <c r="A627" s="17" t="s">
        <v>456</v>
      </c>
      <c r="B627" s="18"/>
      <c r="C627" s="3" t="s">
        <v>30</v>
      </c>
      <c r="D627" s="4" t="s">
        <v>11</v>
      </c>
      <c r="E627" s="5"/>
      <c r="F627" s="6"/>
      <c r="G627" s="6">
        <v>363337</v>
      </c>
      <c r="H627" s="19">
        <v>363337</v>
      </c>
      <c r="I627" s="20"/>
      <c r="J627" s="20"/>
      <c r="K627" s="21"/>
    </row>
    <row r="628" spans="1:11" x14ac:dyDescent="0.3">
      <c r="A628" s="17" t="s">
        <v>456</v>
      </c>
      <c r="B628" s="18"/>
      <c r="C628" s="3" t="s">
        <v>8</v>
      </c>
      <c r="D628" s="4" t="s">
        <v>9</v>
      </c>
      <c r="E628" s="5"/>
      <c r="F628" s="6"/>
      <c r="G628" s="6">
        <v>7287</v>
      </c>
      <c r="H628" s="19">
        <v>0</v>
      </c>
      <c r="I628" s="20"/>
      <c r="J628" s="20"/>
      <c r="K628" s="21"/>
    </row>
    <row r="629" spans="1:11" x14ac:dyDescent="0.3">
      <c r="A629" s="17" t="s">
        <v>456</v>
      </c>
      <c r="B629" s="18"/>
      <c r="C629" s="3" t="s">
        <v>457</v>
      </c>
      <c r="D629" s="4" t="s">
        <v>11</v>
      </c>
      <c r="E629" s="5"/>
      <c r="F629" s="6"/>
      <c r="G629" s="6">
        <v>27679</v>
      </c>
      <c r="H629" s="19">
        <v>-7287</v>
      </c>
      <c r="I629" s="20"/>
      <c r="J629" s="20"/>
      <c r="K629" s="21"/>
    </row>
    <row r="630" spans="1:11" x14ac:dyDescent="0.3">
      <c r="A630" s="17" t="s">
        <v>456</v>
      </c>
      <c r="B630" s="18"/>
      <c r="C630" s="3" t="s">
        <v>457</v>
      </c>
      <c r="D630" s="4" t="s">
        <v>11</v>
      </c>
      <c r="E630" s="5"/>
      <c r="F630" s="6"/>
      <c r="G630" s="6">
        <v>3990</v>
      </c>
      <c r="H630" s="19">
        <v>-34966</v>
      </c>
      <c r="I630" s="20"/>
      <c r="J630" s="20"/>
      <c r="K630" s="21"/>
    </row>
    <row r="631" spans="1:11" x14ac:dyDescent="0.3">
      <c r="A631" s="17" t="s">
        <v>456</v>
      </c>
      <c r="B631" s="18"/>
      <c r="C631" s="3" t="s">
        <v>457</v>
      </c>
      <c r="D631" s="4" t="s">
        <v>11</v>
      </c>
      <c r="E631" s="5"/>
      <c r="F631" s="6"/>
      <c r="G631" s="6">
        <v>12990</v>
      </c>
      <c r="H631" s="19">
        <v>-38956</v>
      </c>
      <c r="I631" s="20"/>
      <c r="J631" s="20"/>
      <c r="K631" s="21"/>
    </row>
    <row r="632" spans="1:11" x14ac:dyDescent="0.3">
      <c r="A632" s="17" t="s">
        <v>456</v>
      </c>
      <c r="B632" s="18"/>
      <c r="C632" s="3" t="s">
        <v>458</v>
      </c>
      <c r="D632" s="4" t="s">
        <v>11</v>
      </c>
      <c r="E632" s="5"/>
      <c r="F632" s="6">
        <v>792995</v>
      </c>
      <c r="G632" s="6"/>
      <c r="H632" s="19">
        <v>-51946</v>
      </c>
      <c r="I632" s="20"/>
      <c r="J632" s="20"/>
      <c r="K632" s="21"/>
    </row>
    <row r="633" spans="1:11" x14ac:dyDescent="0.3">
      <c r="A633" s="17" t="s">
        <v>456</v>
      </c>
      <c r="B633" s="18"/>
      <c r="C633" s="3" t="s">
        <v>68</v>
      </c>
      <c r="D633" s="4" t="s">
        <v>11</v>
      </c>
      <c r="E633" s="5"/>
      <c r="F633" s="6"/>
      <c r="G633" s="6">
        <v>726803</v>
      </c>
      <c r="H633" s="19">
        <v>741049</v>
      </c>
      <c r="I633" s="20"/>
      <c r="J633" s="20"/>
      <c r="K633" s="21"/>
    </row>
    <row r="634" spans="1:11" x14ac:dyDescent="0.3">
      <c r="A634" s="17" t="s">
        <v>459</v>
      </c>
      <c r="B634" s="18"/>
      <c r="C634" s="3" t="s">
        <v>48</v>
      </c>
      <c r="D634" s="4" t="s">
        <v>9</v>
      </c>
      <c r="E634" s="5"/>
      <c r="F634" s="6">
        <v>90885</v>
      </c>
      <c r="G634" s="6"/>
      <c r="H634" s="19">
        <v>14246</v>
      </c>
      <c r="I634" s="20"/>
      <c r="J634" s="20"/>
      <c r="K634" s="21"/>
    </row>
    <row r="635" spans="1:11" x14ac:dyDescent="0.3">
      <c r="A635" s="17" t="s">
        <v>459</v>
      </c>
      <c r="B635" s="18"/>
      <c r="C635" s="3" t="s">
        <v>460</v>
      </c>
      <c r="D635" s="4" t="s">
        <v>11</v>
      </c>
      <c r="E635" s="5"/>
      <c r="F635" s="6"/>
      <c r="G635" s="6">
        <v>23510</v>
      </c>
      <c r="H635" s="19">
        <v>105131</v>
      </c>
      <c r="I635" s="20"/>
      <c r="J635" s="20"/>
      <c r="K635" s="21"/>
    </row>
    <row r="636" spans="1:11" x14ac:dyDescent="0.3">
      <c r="A636" s="17" t="s">
        <v>459</v>
      </c>
      <c r="B636" s="18"/>
      <c r="C636" s="3" t="s">
        <v>461</v>
      </c>
      <c r="D636" s="4" t="s">
        <v>11</v>
      </c>
      <c r="E636" s="5"/>
      <c r="F636" s="6"/>
      <c r="G636" s="6">
        <v>29550</v>
      </c>
      <c r="H636" s="19">
        <v>81621</v>
      </c>
      <c r="I636" s="20"/>
      <c r="J636" s="20"/>
      <c r="K636" s="21"/>
    </row>
    <row r="637" spans="1:11" x14ac:dyDescent="0.3">
      <c r="A637" s="17" t="s">
        <v>459</v>
      </c>
      <c r="B637" s="18"/>
      <c r="C637" s="3" t="s">
        <v>462</v>
      </c>
      <c r="D637" s="4" t="s">
        <v>11</v>
      </c>
      <c r="E637" s="5"/>
      <c r="F637" s="6"/>
      <c r="G637" s="6">
        <v>80325</v>
      </c>
      <c r="H637" s="19">
        <v>52071</v>
      </c>
      <c r="I637" s="20"/>
      <c r="J637" s="20"/>
      <c r="K637" s="21"/>
    </row>
    <row r="638" spans="1:11" x14ac:dyDescent="0.3">
      <c r="A638" s="17" t="s">
        <v>459</v>
      </c>
      <c r="B638" s="18"/>
      <c r="C638" s="3" t="s">
        <v>462</v>
      </c>
      <c r="D638" s="4" t="s">
        <v>11</v>
      </c>
      <c r="E638" s="5"/>
      <c r="F638" s="6"/>
      <c r="G638" s="6">
        <v>42427</v>
      </c>
      <c r="H638" s="19">
        <v>-28254</v>
      </c>
      <c r="I638" s="20"/>
      <c r="J638" s="20"/>
      <c r="K638" s="21"/>
    </row>
    <row r="639" spans="1:11" x14ac:dyDescent="0.3">
      <c r="A639" s="17" t="s">
        <v>459</v>
      </c>
      <c r="B639" s="18"/>
      <c r="C639" s="3" t="s">
        <v>463</v>
      </c>
      <c r="D639" s="4" t="s">
        <v>11</v>
      </c>
      <c r="E639" s="5"/>
      <c r="F639" s="6"/>
      <c r="G639" s="6">
        <v>61693</v>
      </c>
      <c r="H639" s="19">
        <v>-70681</v>
      </c>
      <c r="I639" s="20"/>
      <c r="J639" s="20"/>
      <c r="K639" s="21"/>
    </row>
    <row r="640" spans="1:11" x14ac:dyDescent="0.3">
      <c r="A640" s="17" t="s">
        <v>459</v>
      </c>
      <c r="B640" s="18"/>
      <c r="C640" s="3" t="s">
        <v>17</v>
      </c>
      <c r="D640" s="4" t="s">
        <v>18</v>
      </c>
      <c r="E640" s="5"/>
      <c r="F640" s="6"/>
      <c r="G640" s="6">
        <v>191471</v>
      </c>
      <c r="H640" s="19">
        <v>-132374</v>
      </c>
      <c r="I640" s="20"/>
      <c r="J640" s="20"/>
      <c r="K640" s="21"/>
    </row>
    <row r="641" spans="1:11" x14ac:dyDescent="0.3">
      <c r="A641" s="17" t="s">
        <v>459</v>
      </c>
      <c r="B641" s="18"/>
      <c r="C641" s="3" t="s">
        <v>374</v>
      </c>
      <c r="D641" s="4" t="s">
        <v>11</v>
      </c>
      <c r="E641" s="5"/>
      <c r="F641" s="6">
        <v>323845</v>
      </c>
      <c r="G641" s="6"/>
      <c r="H641" s="19">
        <v>-323845</v>
      </c>
      <c r="I641" s="20"/>
      <c r="J641" s="20"/>
      <c r="K641" s="21"/>
    </row>
    <row r="642" spans="1:11" x14ac:dyDescent="0.3">
      <c r="A642" s="17" t="s">
        <v>464</v>
      </c>
      <c r="B642" s="18"/>
      <c r="C642" s="3" t="s">
        <v>8</v>
      </c>
      <c r="D642" s="4" t="s">
        <v>9</v>
      </c>
      <c r="E642" s="5"/>
      <c r="F642" s="6"/>
      <c r="G642" s="6">
        <v>90885</v>
      </c>
      <c r="H642" s="19">
        <v>0</v>
      </c>
      <c r="I642" s="20"/>
      <c r="J642" s="20"/>
      <c r="K642" s="21"/>
    </row>
    <row r="643" spans="1:11" x14ac:dyDescent="0.3">
      <c r="A643" s="17" t="s">
        <v>464</v>
      </c>
      <c r="B643" s="18"/>
      <c r="C643" s="3" t="s">
        <v>59</v>
      </c>
      <c r="D643" s="4" t="s">
        <v>11</v>
      </c>
      <c r="E643" s="5"/>
      <c r="F643" s="6">
        <v>1497498</v>
      </c>
      <c r="G643" s="6"/>
      <c r="H643" s="19">
        <v>-90885</v>
      </c>
      <c r="I643" s="20"/>
      <c r="J643" s="20"/>
      <c r="K643" s="21"/>
    </row>
    <row r="644" spans="1:11" x14ac:dyDescent="0.3">
      <c r="A644" s="17" t="s">
        <v>464</v>
      </c>
      <c r="B644" s="18"/>
      <c r="C644" s="3" t="s">
        <v>465</v>
      </c>
      <c r="D644" s="4" t="s">
        <v>11</v>
      </c>
      <c r="E644" s="5"/>
      <c r="F644" s="6"/>
      <c r="G644" s="6">
        <v>31098</v>
      </c>
      <c r="H644" s="19">
        <v>1406613</v>
      </c>
      <c r="I644" s="20"/>
      <c r="J644" s="20"/>
      <c r="K644" s="21"/>
    </row>
    <row r="645" spans="1:11" x14ac:dyDescent="0.3">
      <c r="A645" s="17" t="s">
        <v>464</v>
      </c>
      <c r="B645" s="18"/>
      <c r="C645" s="3" t="s">
        <v>421</v>
      </c>
      <c r="D645" s="4" t="s">
        <v>11</v>
      </c>
      <c r="E645" s="5"/>
      <c r="F645" s="6"/>
      <c r="G645" s="6">
        <v>99484</v>
      </c>
      <c r="H645" s="19">
        <v>1375515</v>
      </c>
      <c r="I645" s="20"/>
      <c r="J645" s="20"/>
      <c r="K645" s="21"/>
    </row>
    <row r="646" spans="1:11" x14ac:dyDescent="0.3">
      <c r="A646" s="17" t="s">
        <v>464</v>
      </c>
      <c r="B646" s="18"/>
      <c r="C646" s="3" t="s">
        <v>466</v>
      </c>
      <c r="D646" s="4" t="s">
        <v>11</v>
      </c>
      <c r="E646" s="5"/>
      <c r="F646" s="6"/>
      <c r="G646" s="6">
        <v>29711</v>
      </c>
      <c r="H646" s="19">
        <v>1276031</v>
      </c>
      <c r="I646" s="20"/>
      <c r="J646" s="20"/>
      <c r="K646" s="21"/>
    </row>
    <row r="647" spans="1:11" x14ac:dyDescent="0.3">
      <c r="A647" s="17" t="s">
        <v>464</v>
      </c>
      <c r="B647" s="18"/>
      <c r="C647" s="3" t="s">
        <v>17</v>
      </c>
      <c r="D647" s="4" t="s">
        <v>18</v>
      </c>
      <c r="E647" s="5"/>
      <c r="F647" s="6"/>
      <c r="G647" s="6">
        <v>127393</v>
      </c>
      <c r="H647" s="19">
        <v>1246320</v>
      </c>
      <c r="I647" s="20"/>
      <c r="J647" s="20"/>
      <c r="K647" s="21"/>
    </row>
    <row r="648" spans="1:11" x14ac:dyDescent="0.3">
      <c r="A648" s="17" t="s">
        <v>464</v>
      </c>
      <c r="B648" s="18"/>
      <c r="C648" s="3" t="s">
        <v>374</v>
      </c>
      <c r="D648" s="4" t="s">
        <v>11</v>
      </c>
      <c r="E648" s="5"/>
      <c r="F648" s="6">
        <v>190174</v>
      </c>
      <c r="G648" s="6"/>
      <c r="H648" s="19">
        <v>1118927</v>
      </c>
      <c r="I648" s="20"/>
      <c r="J648" s="20"/>
      <c r="K648" s="21"/>
    </row>
    <row r="649" spans="1:11" x14ac:dyDescent="0.3">
      <c r="A649" s="17" t="s">
        <v>464</v>
      </c>
      <c r="B649" s="18"/>
      <c r="C649" s="3" t="s">
        <v>32</v>
      </c>
      <c r="D649" s="4" t="s">
        <v>18</v>
      </c>
      <c r="E649" s="5"/>
      <c r="F649" s="6"/>
      <c r="G649" s="6">
        <v>117212</v>
      </c>
      <c r="H649" s="19">
        <v>1309101</v>
      </c>
      <c r="I649" s="20"/>
      <c r="J649" s="20"/>
      <c r="K649" s="21"/>
    </row>
    <row r="650" spans="1:11" x14ac:dyDescent="0.3">
      <c r="A650" s="17" t="s">
        <v>464</v>
      </c>
      <c r="B650" s="18"/>
      <c r="C650" s="3" t="s">
        <v>219</v>
      </c>
      <c r="D650" s="4" t="s">
        <v>18</v>
      </c>
      <c r="E650" s="5"/>
      <c r="F650" s="6"/>
      <c r="G650" s="6">
        <v>732063</v>
      </c>
      <c r="H650" s="19">
        <v>1191889</v>
      </c>
      <c r="I650" s="20"/>
      <c r="J650" s="20"/>
      <c r="K650" s="21"/>
    </row>
    <row r="651" spans="1:11" x14ac:dyDescent="0.3">
      <c r="A651" s="17" t="s">
        <v>464</v>
      </c>
      <c r="B651" s="18"/>
      <c r="C651" s="3" t="s">
        <v>297</v>
      </c>
      <c r="D651" s="4" t="s">
        <v>18</v>
      </c>
      <c r="E651" s="5"/>
      <c r="F651" s="6"/>
      <c r="G651" s="6">
        <v>32650</v>
      </c>
      <c r="H651" s="19">
        <v>459826</v>
      </c>
      <c r="I651" s="20"/>
      <c r="J651" s="20"/>
      <c r="K651" s="21"/>
    </row>
    <row r="652" spans="1:11" x14ac:dyDescent="0.3">
      <c r="A652" s="17" t="s">
        <v>464</v>
      </c>
      <c r="B652" s="18"/>
      <c r="C652" s="3" t="s">
        <v>467</v>
      </c>
      <c r="D652" s="4" t="s">
        <v>11</v>
      </c>
      <c r="E652" s="5"/>
      <c r="F652" s="6"/>
      <c r="G652" s="6">
        <v>36120</v>
      </c>
      <c r="H652" s="19">
        <v>427176</v>
      </c>
      <c r="I652" s="20"/>
      <c r="J652" s="20"/>
      <c r="K652" s="21"/>
    </row>
    <row r="653" spans="1:11" x14ac:dyDescent="0.3">
      <c r="A653" s="17" t="s">
        <v>464</v>
      </c>
      <c r="B653" s="18"/>
      <c r="C653" s="3" t="s">
        <v>468</v>
      </c>
      <c r="D653" s="4" t="s">
        <v>11</v>
      </c>
      <c r="E653" s="5"/>
      <c r="F653" s="6"/>
      <c r="G653" s="6">
        <v>62780</v>
      </c>
      <c r="H653" s="19">
        <v>391056</v>
      </c>
      <c r="I653" s="20"/>
      <c r="J653" s="20"/>
      <c r="K653" s="21"/>
    </row>
    <row r="654" spans="1:11" x14ac:dyDescent="0.3">
      <c r="A654" s="17" t="s">
        <v>469</v>
      </c>
      <c r="B654" s="18"/>
      <c r="C654" s="3" t="s">
        <v>48</v>
      </c>
      <c r="D654" s="4" t="s">
        <v>9</v>
      </c>
      <c r="E654" s="5"/>
      <c r="F654" s="6">
        <v>961240</v>
      </c>
      <c r="G654" s="6"/>
      <c r="H654" s="19">
        <v>328276</v>
      </c>
      <c r="I654" s="20"/>
      <c r="J654" s="20"/>
      <c r="K654" s="21"/>
    </row>
    <row r="655" spans="1:11" x14ac:dyDescent="0.3">
      <c r="A655" s="17" t="s">
        <v>469</v>
      </c>
      <c r="B655" s="18"/>
      <c r="C655" s="3" t="s">
        <v>17</v>
      </c>
      <c r="D655" s="4" t="s">
        <v>18</v>
      </c>
      <c r="E655" s="5"/>
      <c r="F655" s="6"/>
      <c r="G655" s="6">
        <v>125462</v>
      </c>
      <c r="H655" s="19">
        <v>1289516</v>
      </c>
      <c r="I655" s="20"/>
      <c r="J655" s="20"/>
      <c r="K655" s="21"/>
    </row>
    <row r="656" spans="1:11" x14ac:dyDescent="0.3">
      <c r="A656" s="17" t="s">
        <v>469</v>
      </c>
      <c r="B656" s="18"/>
      <c r="C656" s="3" t="s">
        <v>103</v>
      </c>
      <c r="D656" s="4" t="s">
        <v>11</v>
      </c>
      <c r="E656" s="5"/>
      <c r="F656" s="6"/>
      <c r="G656" s="6">
        <v>418398</v>
      </c>
      <c r="H656" s="19">
        <v>1164054</v>
      </c>
      <c r="I656" s="20"/>
      <c r="J656" s="20"/>
      <c r="K656" s="21"/>
    </row>
    <row r="657" spans="1:11" x14ac:dyDescent="0.3">
      <c r="A657" s="17" t="s">
        <v>469</v>
      </c>
      <c r="B657" s="18"/>
      <c r="C657" s="3" t="s">
        <v>386</v>
      </c>
      <c r="D657" s="4" t="s">
        <v>11</v>
      </c>
      <c r="E657" s="5"/>
      <c r="F657" s="6"/>
      <c r="G657" s="6">
        <v>595000</v>
      </c>
      <c r="H657" s="19">
        <v>745656</v>
      </c>
      <c r="I657" s="20"/>
      <c r="J657" s="20"/>
      <c r="K657" s="21"/>
    </row>
    <row r="658" spans="1:11" x14ac:dyDescent="0.3">
      <c r="A658" s="17" t="s">
        <v>469</v>
      </c>
      <c r="B658" s="18"/>
      <c r="C658" s="3" t="s">
        <v>295</v>
      </c>
      <c r="D658" s="4" t="s">
        <v>11</v>
      </c>
      <c r="E658" s="5"/>
      <c r="F658" s="6"/>
      <c r="G658" s="6">
        <v>70481</v>
      </c>
      <c r="H658" s="19">
        <v>150656</v>
      </c>
      <c r="I658" s="20"/>
      <c r="J658" s="20"/>
      <c r="K658" s="21"/>
    </row>
    <row r="659" spans="1:11" x14ac:dyDescent="0.3">
      <c r="A659" s="17" t="s">
        <v>469</v>
      </c>
      <c r="B659" s="18"/>
      <c r="C659" s="3" t="s">
        <v>277</v>
      </c>
      <c r="D659" s="4" t="s">
        <v>11</v>
      </c>
      <c r="E659" s="5"/>
      <c r="F659" s="6"/>
      <c r="G659" s="6">
        <v>80175</v>
      </c>
      <c r="H659" s="19">
        <v>80175</v>
      </c>
      <c r="I659" s="20"/>
      <c r="J659" s="20"/>
      <c r="K659" s="21"/>
    </row>
    <row r="660" spans="1:11" x14ac:dyDescent="0.3">
      <c r="A660" s="17" t="s">
        <v>470</v>
      </c>
      <c r="B660" s="18"/>
      <c r="C660" s="3" t="s">
        <v>8</v>
      </c>
      <c r="D660" s="4" t="s">
        <v>9</v>
      </c>
      <c r="E660" s="5"/>
      <c r="F660" s="6"/>
      <c r="G660" s="6">
        <v>296296</v>
      </c>
      <c r="H660" s="19">
        <v>0</v>
      </c>
      <c r="I660" s="20"/>
      <c r="J660" s="20"/>
      <c r="K660" s="21"/>
    </row>
    <row r="661" spans="1:11" x14ac:dyDescent="0.3">
      <c r="A661" s="17" t="s">
        <v>470</v>
      </c>
      <c r="B661" s="18"/>
      <c r="C661" s="3" t="s">
        <v>471</v>
      </c>
      <c r="D661" s="4" t="s">
        <v>11</v>
      </c>
      <c r="E661" s="5"/>
      <c r="F661" s="6"/>
      <c r="G661" s="6">
        <v>77386</v>
      </c>
      <c r="H661" s="19">
        <v>-296296</v>
      </c>
      <c r="I661" s="20"/>
      <c r="J661" s="20"/>
      <c r="K661" s="21"/>
    </row>
    <row r="662" spans="1:11" x14ac:dyDescent="0.3">
      <c r="A662" s="17" t="s">
        <v>470</v>
      </c>
      <c r="B662" s="18"/>
      <c r="C662" s="3" t="s">
        <v>46</v>
      </c>
      <c r="D662" s="4" t="s">
        <v>11</v>
      </c>
      <c r="E662" s="5"/>
      <c r="F662" s="6"/>
      <c r="G662" s="6">
        <v>273940</v>
      </c>
      <c r="H662" s="19">
        <v>-373682</v>
      </c>
      <c r="I662" s="20"/>
      <c r="J662" s="20"/>
      <c r="K662" s="21"/>
    </row>
    <row r="663" spans="1:11" x14ac:dyDescent="0.3">
      <c r="A663" s="17" t="s">
        <v>470</v>
      </c>
      <c r="B663" s="18"/>
      <c r="C663" s="3" t="s">
        <v>418</v>
      </c>
      <c r="D663" s="4" t="s">
        <v>11</v>
      </c>
      <c r="E663" s="5"/>
      <c r="F663" s="6"/>
      <c r="G663" s="6">
        <v>57963</v>
      </c>
      <c r="H663" s="19">
        <v>-647622</v>
      </c>
      <c r="I663" s="20"/>
      <c r="J663" s="20"/>
      <c r="K663" s="21"/>
    </row>
    <row r="664" spans="1:11" x14ac:dyDescent="0.3">
      <c r="A664" s="17" t="s">
        <v>470</v>
      </c>
      <c r="B664" s="18"/>
      <c r="C664" s="3" t="s">
        <v>97</v>
      </c>
      <c r="D664" s="4" t="s">
        <v>11</v>
      </c>
      <c r="E664" s="5"/>
      <c r="F664" s="6"/>
      <c r="G664" s="6">
        <v>57823</v>
      </c>
      <c r="H664" s="19">
        <v>-705585</v>
      </c>
      <c r="I664" s="20"/>
      <c r="J664" s="20"/>
      <c r="K664" s="21"/>
    </row>
    <row r="665" spans="1:11" x14ac:dyDescent="0.3">
      <c r="A665" s="17" t="s">
        <v>470</v>
      </c>
      <c r="B665" s="18"/>
      <c r="C665" s="3" t="s">
        <v>30</v>
      </c>
      <c r="D665" s="4" t="s">
        <v>11</v>
      </c>
      <c r="E665" s="5"/>
      <c r="F665" s="6"/>
      <c r="G665" s="6">
        <v>1739699</v>
      </c>
      <c r="H665" s="19">
        <v>-763408</v>
      </c>
      <c r="I665" s="20"/>
      <c r="J665" s="20"/>
      <c r="K665" s="21"/>
    </row>
    <row r="666" spans="1:11" x14ac:dyDescent="0.3">
      <c r="A666" s="17" t="s">
        <v>470</v>
      </c>
      <c r="B666" s="18"/>
      <c r="C666" s="3" t="s">
        <v>75</v>
      </c>
      <c r="D666" s="4" t="s">
        <v>18</v>
      </c>
      <c r="E666" s="5"/>
      <c r="F666" s="6">
        <v>4180493</v>
      </c>
      <c r="G666" s="6"/>
      <c r="H666" s="19">
        <v>-2503107</v>
      </c>
      <c r="I666" s="20"/>
      <c r="J666" s="20"/>
      <c r="K666" s="21"/>
    </row>
    <row r="667" spans="1:11" x14ac:dyDescent="0.3">
      <c r="A667" s="17" t="s">
        <v>470</v>
      </c>
      <c r="B667" s="18"/>
      <c r="C667" s="3" t="s">
        <v>50</v>
      </c>
      <c r="D667" s="4" t="s">
        <v>11</v>
      </c>
      <c r="E667" s="5"/>
      <c r="F667" s="6"/>
      <c r="G667" s="6">
        <v>1000000</v>
      </c>
      <c r="H667" s="19">
        <v>1677386</v>
      </c>
      <c r="I667" s="20"/>
      <c r="J667" s="20"/>
      <c r="K667" s="21"/>
    </row>
    <row r="668" spans="1:11" x14ac:dyDescent="0.3">
      <c r="A668" s="17" t="s">
        <v>470</v>
      </c>
      <c r="B668" s="18"/>
      <c r="C668" s="3" t="s">
        <v>224</v>
      </c>
      <c r="D668" s="4" t="s">
        <v>11</v>
      </c>
      <c r="E668" s="5"/>
      <c r="F668" s="6"/>
      <c r="G668" s="6">
        <v>233709</v>
      </c>
      <c r="H668" s="19">
        <v>677386</v>
      </c>
      <c r="I668" s="20"/>
      <c r="J668" s="20"/>
      <c r="K668" s="21"/>
    </row>
    <row r="669" spans="1:11" x14ac:dyDescent="0.3">
      <c r="A669" s="17" t="s">
        <v>470</v>
      </c>
      <c r="B669" s="18"/>
      <c r="C669" s="3" t="s">
        <v>68</v>
      </c>
      <c r="D669" s="4" t="s">
        <v>11</v>
      </c>
      <c r="E669" s="5"/>
      <c r="F669" s="6"/>
      <c r="G669" s="6">
        <v>413966</v>
      </c>
      <c r="H669" s="19">
        <v>443677</v>
      </c>
      <c r="I669" s="20"/>
      <c r="J669" s="20"/>
      <c r="K669" s="21"/>
    </row>
    <row r="670" spans="1:11" x14ac:dyDescent="0.3">
      <c r="A670" s="17" t="s">
        <v>470</v>
      </c>
      <c r="B670" s="18"/>
      <c r="C670" s="3" t="s">
        <v>250</v>
      </c>
      <c r="D670" s="4" t="s">
        <v>11</v>
      </c>
      <c r="E670" s="5"/>
      <c r="F670" s="6"/>
      <c r="G670" s="6">
        <v>29711</v>
      </c>
      <c r="H670" s="19">
        <v>29711</v>
      </c>
      <c r="I670" s="20"/>
      <c r="J670" s="20"/>
      <c r="K670" s="21"/>
    </row>
    <row r="671" spans="1:11" x14ac:dyDescent="0.3">
      <c r="A671" s="17" t="s">
        <v>472</v>
      </c>
      <c r="B671" s="18"/>
      <c r="C671" s="3" t="s">
        <v>48</v>
      </c>
      <c r="D671" s="4" t="s">
        <v>9</v>
      </c>
      <c r="E671" s="5"/>
      <c r="F671" s="6">
        <v>231535</v>
      </c>
      <c r="G671" s="6"/>
      <c r="H671" s="19">
        <v>0</v>
      </c>
      <c r="I671" s="20"/>
      <c r="J671" s="20"/>
      <c r="K671" s="21"/>
    </row>
    <row r="672" spans="1:11" x14ac:dyDescent="0.3">
      <c r="A672" s="17" t="s">
        <v>472</v>
      </c>
      <c r="B672" s="18"/>
      <c r="C672" s="3" t="s">
        <v>67</v>
      </c>
      <c r="D672" s="4" t="s">
        <v>11</v>
      </c>
      <c r="E672" s="5"/>
      <c r="F672" s="6"/>
      <c r="G672" s="6">
        <v>134977</v>
      </c>
      <c r="H672" s="19">
        <v>231535</v>
      </c>
      <c r="I672" s="20"/>
      <c r="J672" s="20"/>
      <c r="K672" s="21"/>
    </row>
    <row r="673" spans="1:11" x14ac:dyDescent="0.3">
      <c r="A673" s="17" t="s">
        <v>472</v>
      </c>
      <c r="B673" s="18"/>
      <c r="C673" s="3" t="s">
        <v>108</v>
      </c>
      <c r="D673" s="4" t="s">
        <v>11</v>
      </c>
      <c r="E673" s="5"/>
      <c r="F673" s="6"/>
      <c r="G673" s="6">
        <v>96558</v>
      </c>
      <c r="H673" s="19">
        <v>96558</v>
      </c>
      <c r="I673" s="20"/>
      <c r="J673" s="20"/>
      <c r="K673" s="21"/>
    </row>
    <row r="674" spans="1:11" x14ac:dyDescent="0.3">
      <c r="A674" s="17" t="s">
        <v>473</v>
      </c>
      <c r="B674" s="18"/>
      <c r="C674" s="3" t="s">
        <v>48</v>
      </c>
      <c r="D674" s="4" t="s">
        <v>9</v>
      </c>
      <c r="E674" s="5"/>
      <c r="F674" s="6">
        <v>356474</v>
      </c>
      <c r="G674" s="6"/>
      <c r="H674" s="19">
        <v>0</v>
      </c>
      <c r="I674" s="20"/>
      <c r="J674" s="20"/>
      <c r="K674" s="21"/>
    </row>
    <row r="675" spans="1:11" x14ac:dyDescent="0.3">
      <c r="A675" s="17" t="s">
        <v>473</v>
      </c>
      <c r="B675" s="18"/>
      <c r="C675" s="3" t="s">
        <v>86</v>
      </c>
      <c r="D675" s="4" t="s">
        <v>18</v>
      </c>
      <c r="E675" s="5"/>
      <c r="F675" s="6">
        <v>15457</v>
      </c>
      <c r="G675" s="6"/>
      <c r="H675" s="19">
        <v>356474</v>
      </c>
      <c r="I675" s="20"/>
      <c r="J675" s="20"/>
      <c r="K675" s="21"/>
    </row>
    <row r="676" spans="1:11" x14ac:dyDescent="0.3">
      <c r="A676" s="17" t="s">
        <v>473</v>
      </c>
      <c r="B676" s="18"/>
      <c r="C676" s="3" t="s">
        <v>17</v>
      </c>
      <c r="D676" s="4" t="s">
        <v>18</v>
      </c>
      <c r="E676" s="5"/>
      <c r="F676" s="6"/>
      <c r="G676" s="6">
        <v>137695</v>
      </c>
      <c r="H676" s="19">
        <v>371931</v>
      </c>
      <c r="I676" s="20"/>
      <c r="J676" s="20"/>
      <c r="K676" s="21"/>
    </row>
    <row r="677" spans="1:11" x14ac:dyDescent="0.3">
      <c r="A677" s="17" t="s">
        <v>473</v>
      </c>
      <c r="B677" s="18"/>
      <c r="C677" s="3" t="s">
        <v>474</v>
      </c>
      <c r="D677" s="4" t="s">
        <v>11</v>
      </c>
      <c r="E677" s="5"/>
      <c r="F677" s="6"/>
      <c r="G677" s="6">
        <v>43907</v>
      </c>
      <c r="H677" s="19">
        <v>234236</v>
      </c>
      <c r="I677" s="20"/>
      <c r="J677" s="20"/>
      <c r="K677" s="21"/>
    </row>
    <row r="678" spans="1:11" x14ac:dyDescent="0.3">
      <c r="A678" s="17" t="s">
        <v>473</v>
      </c>
      <c r="B678" s="18"/>
      <c r="C678" s="3" t="s">
        <v>328</v>
      </c>
      <c r="D678" s="4" t="s">
        <v>11</v>
      </c>
      <c r="E678" s="5"/>
      <c r="F678" s="6"/>
      <c r="G678" s="6">
        <v>83300</v>
      </c>
      <c r="H678" s="19">
        <v>190329</v>
      </c>
      <c r="I678" s="20"/>
      <c r="J678" s="20"/>
      <c r="K678" s="21"/>
    </row>
    <row r="679" spans="1:11" x14ac:dyDescent="0.3">
      <c r="A679" s="17" t="s">
        <v>473</v>
      </c>
      <c r="B679" s="18"/>
      <c r="C679" s="3" t="s">
        <v>475</v>
      </c>
      <c r="D679" s="4" t="s">
        <v>11</v>
      </c>
      <c r="E679" s="5"/>
      <c r="F679" s="6"/>
      <c r="G679" s="6">
        <v>107029</v>
      </c>
      <c r="H679" s="19">
        <v>107029</v>
      </c>
      <c r="I679" s="20"/>
      <c r="J679" s="20"/>
      <c r="K679" s="21"/>
    </row>
    <row r="680" spans="1:11" x14ac:dyDescent="0.3">
      <c r="A680" s="17" t="s">
        <v>476</v>
      </c>
      <c r="B680" s="18"/>
      <c r="C680" s="3" t="s">
        <v>8</v>
      </c>
      <c r="D680" s="4" t="s">
        <v>9</v>
      </c>
      <c r="E680" s="5"/>
      <c r="F680" s="6"/>
      <c r="G680" s="6">
        <v>648186</v>
      </c>
      <c r="H680" s="19">
        <v>0</v>
      </c>
      <c r="I680" s="20"/>
      <c r="J680" s="20"/>
      <c r="K680" s="21"/>
    </row>
    <row r="681" spans="1:11" x14ac:dyDescent="0.3">
      <c r="A681" s="17" t="s">
        <v>476</v>
      </c>
      <c r="B681" s="18"/>
      <c r="C681" s="3" t="s">
        <v>19</v>
      </c>
      <c r="D681" s="4" t="s">
        <v>18</v>
      </c>
      <c r="E681" s="5"/>
      <c r="F681" s="6">
        <v>1356005</v>
      </c>
      <c r="G681" s="6"/>
      <c r="H681" s="19">
        <v>-648186</v>
      </c>
      <c r="I681" s="20"/>
      <c r="J681" s="20"/>
      <c r="K681" s="21"/>
    </row>
    <row r="682" spans="1:11" x14ac:dyDescent="0.3">
      <c r="A682" s="17" t="s">
        <v>476</v>
      </c>
      <c r="B682" s="18"/>
      <c r="C682" s="3" t="s">
        <v>477</v>
      </c>
      <c r="D682" s="4" t="s">
        <v>11</v>
      </c>
      <c r="E682" s="5"/>
      <c r="F682" s="6"/>
      <c r="G682" s="6">
        <v>53070</v>
      </c>
      <c r="H682" s="19">
        <v>707819</v>
      </c>
      <c r="I682" s="20"/>
      <c r="J682" s="20"/>
      <c r="K682" s="21"/>
    </row>
    <row r="683" spans="1:11" x14ac:dyDescent="0.3">
      <c r="A683" s="17" t="s">
        <v>476</v>
      </c>
      <c r="B683" s="18"/>
      <c r="C683" s="3" t="s">
        <v>220</v>
      </c>
      <c r="D683" s="4" t="s">
        <v>18</v>
      </c>
      <c r="E683" s="5"/>
      <c r="F683" s="6"/>
      <c r="G683" s="6">
        <v>414821</v>
      </c>
      <c r="H683" s="19">
        <v>654749</v>
      </c>
      <c r="I683" s="20"/>
      <c r="J683" s="20"/>
      <c r="K683" s="21"/>
    </row>
    <row r="684" spans="1:11" x14ac:dyDescent="0.3">
      <c r="A684" s="17" t="s">
        <v>476</v>
      </c>
      <c r="B684" s="18"/>
      <c r="C684" s="3" t="s">
        <v>478</v>
      </c>
      <c r="D684" s="4" t="s">
        <v>11</v>
      </c>
      <c r="E684" s="5"/>
      <c r="F684" s="6"/>
      <c r="G684" s="6">
        <v>76321</v>
      </c>
      <c r="H684" s="19">
        <v>239928</v>
      </c>
      <c r="I684" s="20"/>
      <c r="J684" s="20"/>
      <c r="K684" s="21"/>
    </row>
    <row r="685" spans="1:11" x14ac:dyDescent="0.3">
      <c r="A685" s="17" t="s">
        <v>476</v>
      </c>
      <c r="B685" s="18"/>
      <c r="C685" s="3" t="s">
        <v>91</v>
      </c>
      <c r="D685" s="4" t="s">
        <v>11</v>
      </c>
      <c r="E685" s="5"/>
      <c r="F685" s="6"/>
      <c r="G685" s="6">
        <v>31409</v>
      </c>
      <c r="H685" s="19">
        <v>163607</v>
      </c>
      <c r="I685" s="20"/>
      <c r="J685" s="20"/>
      <c r="K685" s="21"/>
    </row>
    <row r="686" spans="1:11" x14ac:dyDescent="0.3">
      <c r="A686" s="17" t="s">
        <v>476</v>
      </c>
      <c r="B686" s="18"/>
      <c r="C686" s="3" t="s">
        <v>403</v>
      </c>
      <c r="D686" s="4" t="s">
        <v>11</v>
      </c>
      <c r="E686" s="5"/>
      <c r="F686" s="6"/>
      <c r="G686" s="6">
        <v>44566</v>
      </c>
      <c r="H686" s="19">
        <v>132198</v>
      </c>
      <c r="I686" s="20"/>
      <c r="J686" s="20"/>
      <c r="K686" s="21"/>
    </row>
    <row r="687" spans="1:11" x14ac:dyDescent="0.3">
      <c r="A687" s="17" t="s">
        <v>476</v>
      </c>
      <c r="B687" s="18"/>
      <c r="C687" s="3" t="s">
        <v>479</v>
      </c>
      <c r="D687" s="4" t="s">
        <v>11</v>
      </c>
      <c r="E687" s="5"/>
      <c r="F687" s="6"/>
      <c r="G687" s="6">
        <v>87632</v>
      </c>
      <c r="H687" s="19">
        <v>87632</v>
      </c>
      <c r="I687" s="20"/>
      <c r="J687" s="20"/>
      <c r="K687" s="21"/>
    </row>
    <row r="688" spans="1:11" x14ac:dyDescent="0.3">
      <c r="A688" s="17" t="s">
        <v>480</v>
      </c>
      <c r="B688" s="18"/>
      <c r="C688" s="3" t="s">
        <v>8</v>
      </c>
      <c r="D688" s="4" t="s">
        <v>9</v>
      </c>
      <c r="E688" s="5"/>
      <c r="F688" s="6"/>
      <c r="G688" s="6">
        <v>604767</v>
      </c>
      <c r="H688" s="19">
        <v>0</v>
      </c>
      <c r="I688" s="20"/>
      <c r="J688" s="20"/>
      <c r="K688" s="21"/>
    </row>
    <row r="689" spans="1:11" x14ac:dyDescent="0.3">
      <c r="A689" s="17" t="s">
        <v>480</v>
      </c>
      <c r="B689" s="18"/>
      <c r="C689" s="3" t="s">
        <v>233</v>
      </c>
      <c r="D689" s="4" t="s">
        <v>11</v>
      </c>
      <c r="E689" s="5"/>
      <c r="F689" s="6"/>
      <c r="G689" s="6">
        <v>567592</v>
      </c>
      <c r="H689" s="19">
        <v>-604767</v>
      </c>
      <c r="I689" s="20"/>
      <c r="J689" s="20"/>
      <c r="K689" s="21"/>
    </row>
    <row r="690" spans="1:11" x14ac:dyDescent="0.3">
      <c r="A690" s="17" t="s">
        <v>480</v>
      </c>
      <c r="B690" s="18"/>
      <c r="C690" s="3" t="s">
        <v>225</v>
      </c>
      <c r="D690" s="4" t="s">
        <v>11</v>
      </c>
      <c r="E690" s="5"/>
      <c r="F690" s="6"/>
      <c r="G690" s="6">
        <v>1163820</v>
      </c>
      <c r="H690" s="19">
        <v>-1172359</v>
      </c>
      <c r="I690" s="20"/>
      <c r="J690" s="20"/>
      <c r="K690" s="21"/>
    </row>
    <row r="691" spans="1:11" x14ac:dyDescent="0.3">
      <c r="A691" s="17" t="s">
        <v>480</v>
      </c>
      <c r="B691" s="18"/>
      <c r="C691" s="3" t="s">
        <v>361</v>
      </c>
      <c r="D691" s="4" t="s">
        <v>11</v>
      </c>
      <c r="E691" s="5"/>
      <c r="F691" s="6">
        <v>42602</v>
      </c>
      <c r="G691" s="6"/>
      <c r="H691" s="19">
        <v>-2336179</v>
      </c>
      <c r="I691" s="20"/>
      <c r="J691" s="20"/>
      <c r="K691" s="21"/>
    </row>
    <row r="692" spans="1:11" x14ac:dyDescent="0.3">
      <c r="A692" s="17" t="s">
        <v>480</v>
      </c>
      <c r="B692" s="18"/>
      <c r="C692" s="3" t="s">
        <v>19</v>
      </c>
      <c r="D692" s="4" t="s">
        <v>18</v>
      </c>
      <c r="E692" s="5"/>
      <c r="F692" s="6">
        <v>1341615</v>
      </c>
      <c r="G692" s="6"/>
      <c r="H692" s="19">
        <v>-2293577</v>
      </c>
      <c r="I692" s="20"/>
      <c r="J692" s="20"/>
      <c r="K692" s="21"/>
    </row>
    <row r="693" spans="1:11" x14ac:dyDescent="0.3">
      <c r="A693" s="17" t="s">
        <v>480</v>
      </c>
      <c r="B693" s="18"/>
      <c r="C693" s="3" t="s">
        <v>106</v>
      </c>
      <c r="D693" s="4" t="s">
        <v>18</v>
      </c>
      <c r="E693" s="5"/>
      <c r="F693" s="6">
        <v>4592389</v>
      </c>
      <c r="G693" s="6"/>
      <c r="H693" s="19">
        <v>-951962</v>
      </c>
      <c r="I693" s="20"/>
      <c r="J693" s="20"/>
      <c r="K693" s="21"/>
    </row>
    <row r="694" spans="1:11" x14ac:dyDescent="0.3">
      <c r="A694" s="17" t="s">
        <v>480</v>
      </c>
      <c r="B694" s="18"/>
      <c r="C694" s="3" t="s">
        <v>31</v>
      </c>
      <c r="D694" s="4" t="s">
        <v>18</v>
      </c>
      <c r="E694" s="5"/>
      <c r="F694" s="6"/>
      <c r="G694" s="6">
        <v>262009</v>
      </c>
      <c r="H694" s="19">
        <v>3640427</v>
      </c>
      <c r="I694" s="20"/>
      <c r="J694" s="20"/>
      <c r="K694" s="21"/>
    </row>
    <row r="695" spans="1:11" x14ac:dyDescent="0.3">
      <c r="A695" s="17" t="s">
        <v>480</v>
      </c>
      <c r="B695" s="18"/>
      <c r="C695" s="3" t="s">
        <v>31</v>
      </c>
      <c r="D695" s="4" t="s">
        <v>18</v>
      </c>
      <c r="E695" s="5"/>
      <c r="F695" s="6"/>
      <c r="G695" s="6">
        <v>67955</v>
      </c>
      <c r="H695" s="19">
        <v>3378418</v>
      </c>
      <c r="I695" s="20"/>
      <c r="J695" s="20"/>
      <c r="K695" s="21"/>
    </row>
    <row r="696" spans="1:11" x14ac:dyDescent="0.3">
      <c r="A696" s="17" t="s">
        <v>480</v>
      </c>
      <c r="B696" s="18"/>
      <c r="C696" s="3" t="s">
        <v>481</v>
      </c>
      <c r="D696" s="4" t="s">
        <v>11</v>
      </c>
      <c r="E696" s="5"/>
      <c r="F696" s="6"/>
      <c r="G696" s="6">
        <v>39393</v>
      </c>
      <c r="H696" s="19">
        <v>3310463</v>
      </c>
      <c r="I696" s="20"/>
      <c r="J696" s="20"/>
      <c r="K696" s="21"/>
    </row>
    <row r="697" spans="1:11" x14ac:dyDescent="0.3">
      <c r="A697" s="17" t="s">
        <v>482</v>
      </c>
      <c r="B697" s="18"/>
      <c r="C697" s="3" t="s">
        <v>483</v>
      </c>
      <c r="D697" s="4" t="s">
        <v>11</v>
      </c>
      <c r="E697" s="5"/>
      <c r="F697" s="6"/>
      <c r="G697" s="6">
        <v>68656</v>
      </c>
      <c r="H697" s="19">
        <v>3271070</v>
      </c>
      <c r="I697" s="20"/>
      <c r="J697" s="20"/>
      <c r="K697" s="21"/>
    </row>
    <row r="698" spans="1:11" x14ac:dyDescent="0.3">
      <c r="A698" s="17" t="s">
        <v>482</v>
      </c>
      <c r="B698" s="18"/>
      <c r="C698" s="3" t="s">
        <v>45</v>
      </c>
      <c r="D698" s="4" t="s">
        <v>18</v>
      </c>
      <c r="E698" s="5"/>
      <c r="F698" s="6"/>
      <c r="G698" s="6">
        <v>107100</v>
      </c>
      <c r="H698" s="19">
        <v>3202414</v>
      </c>
      <c r="I698" s="20"/>
      <c r="J698" s="20"/>
      <c r="K698" s="21"/>
    </row>
    <row r="699" spans="1:11" x14ac:dyDescent="0.3">
      <c r="A699" s="17" t="s">
        <v>482</v>
      </c>
      <c r="B699" s="18"/>
      <c r="C699" s="3" t="s">
        <v>45</v>
      </c>
      <c r="D699" s="4" t="s">
        <v>18</v>
      </c>
      <c r="E699" s="5"/>
      <c r="F699" s="6"/>
      <c r="G699" s="6">
        <v>272335</v>
      </c>
      <c r="H699" s="19">
        <v>3095314</v>
      </c>
      <c r="I699" s="20"/>
      <c r="J699" s="20"/>
      <c r="K699" s="21"/>
    </row>
    <row r="700" spans="1:11" x14ac:dyDescent="0.3">
      <c r="A700" s="17" t="s">
        <v>482</v>
      </c>
      <c r="B700" s="18"/>
      <c r="C700" s="3" t="s">
        <v>45</v>
      </c>
      <c r="D700" s="4" t="s">
        <v>18</v>
      </c>
      <c r="E700" s="5"/>
      <c r="F700" s="6"/>
      <c r="G700" s="6">
        <v>46985</v>
      </c>
      <c r="H700" s="19">
        <v>2822979</v>
      </c>
      <c r="I700" s="20"/>
      <c r="J700" s="20"/>
      <c r="K700" s="21"/>
    </row>
    <row r="701" spans="1:11" x14ac:dyDescent="0.3">
      <c r="A701" s="17" t="s">
        <v>482</v>
      </c>
      <c r="B701" s="18"/>
      <c r="C701" s="3" t="s">
        <v>17</v>
      </c>
      <c r="D701" s="4" t="s">
        <v>18</v>
      </c>
      <c r="E701" s="5"/>
      <c r="F701" s="6"/>
      <c r="G701" s="6">
        <v>168208</v>
      </c>
      <c r="H701" s="19">
        <v>2775994</v>
      </c>
      <c r="I701" s="20"/>
      <c r="J701" s="20"/>
      <c r="K701" s="21"/>
    </row>
    <row r="702" spans="1:11" x14ac:dyDescent="0.3">
      <c r="A702" s="17" t="s">
        <v>482</v>
      </c>
      <c r="B702" s="18"/>
      <c r="C702" s="3" t="s">
        <v>160</v>
      </c>
      <c r="D702" s="4" t="s">
        <v>18</v>
      </c>
      <c r="E702" s="5"/>
      <c r="F702" s="6"/>
      <c r="G702" s="6">
        <v>860432</v>
      </c>
      <c r="H702" s="19">
        <v>2607786</v>
      </c>
      <c r="I702" s="20"/>
      <c r="J702" s="20"/>
      <c r="K702" s="21"/>
    </row>
    <row r="703" spans="1:11" x14ac:dyDescent="0.3">
      <c r="A703" s="17" t="s">
        <v>482</v>
      </c>
      <c r="B703" s="18"/>
      <c r="C703" s="3" t="s">
        <v>484</v>
      </c>
      <c r="D703" s="4" t="s">
        <v>11</v>
      </c>
      <c r="E703" s="5"/>
      <c r="F703" s="6"/>
      <c r="G703" s="6">
        <v>11900</v>
      </c>
      <c r="H703" s="19">
        <v>1747354</v>
      </c>
      <c r="I703" s="20"/>
      <c r="J703" s="20"/>
      <c r="K703" s="21"/>
    </row>
    <row r="704" spans="1:11" x14ac:dyDescent="0.3">
      <c r="A704" s="17" t="s">
        <v>485</v>
      </c>
      <c r="B704" s="18"/>
      <c r="C704" s="3" t="s">
        <v>124</v>
      </c>
      <c r="D704" s="4" t="s">
        <v>11</v>
      </c>
      <c r="E704" s="5"/>
      <c r="F704" s="6"/>
      <c r="G704" s="6">
        <v>749700</v>
      </c>
      <c r="H704" s="19">
        <v>1735454</v>
      </c>
      <c r="I704" s="20"/>
      <c r="J704" s="20"/>
      <c r="K704" s="21"/>
    </row>
    <row r="705" spans="1:11" x14ac:dyDescent="0.3">
      <c r="A705" s="17" t="s">
        <v>485</v>
      </c>
      <c r="B705" s="18"/>
      <c r="C705" s="3" t="s">
        <v>17</v>
      </c>
      <c r="D705" s="4" t="s">
        <v>18</v>
      </c>
      <c r="E705" s="5"/>
      <c r="F705" s="6"/>
      <c r="G705" s="6">
        <v>82871</v>
      </c>
      <c r="H705" s="19">
        <v>985754</v>
      </c>
      <c r="I705" s="20"/>
      <c r="J705" s="20"/>
      <c r="K705" s="21"/>
    </row>
    <row r="706" spans="1:11" x14ac:dyDescent="0.3">
      <c r="A706" s="17" t="s">
        <v>485</v>
      </c>
      <c r="B706" s="18"/>
      <c r="C706" s="3" t="s">
        <v>19</v>
      </c>
      <c r="D706" s="4" t="s">
        <v>18</v>
      </c>
      <c r="E706" s="5"/>
      <c r="F706" s="6">
        <v>6139003</v>
      </c>
      <c r="G706" s="6"/>
      <c r="H706" s="19">
        <v>902883</v>
      </c>
      <c r="I706" s="20"/>
      <c r="J706" s="20"/>
      <c r="K706" s="21"/>
    </row>
    <row r="707" spans="1:11" x14ac:dyDescent="0.3">
      <c r="A707" s="17" t="s">
        <v>485</v>
      </c>
      <c r="B707" s="18"/>
      <c r="C707" s="3" t="s">
        <v>486</v>
      </c>
      <c r="D707" s="4" t="s">
        <v>11</v>
      </c>
      <c r="E707" s="5"/>
      <c r="F707" s="6"/>
      <c r="G707" s="6">
        <v>45011</v>
      </c>
      <c r="H707" s="19">
        <v>7041886</v>
      </c>
      <c r="I707" s="20"/>
      <c r="J707" s="20"/>
      <c r="K707" s="21"/>
    </row>
    <row r="708" spans="1:11" x14ac:dyDescent="0.3">
      <c r="A708" s="17" t="s">
        <v>485</v>
      </c>
      <c r="B708" s="18"/>
      <c r="C708" s="3" t="s">
        <v>487</v>
      </c>
      <c r="D708" s="4" t="s">
        <v>11</v>
      </c>
      <c r="E708" s="5"/>
      <c r="F708" s="6"/>
      <c r="G708" s="6">
        <v>47576</v>
      </c>
      <c r="H708" s="19">
        <v>6996875</v>
      </c>
      <c r="I708" s="20"/>
      <c r="J708" s="20"/>
      <c r="K708" s="21"/>
    </row>
    <row r="709" spans="1:11" x14ac:dyDescent="0.3">
      <c r="A709" s="17" t="s">
        <v>488</v>
      </c>
      <c r="B709" s="18"/>
      <c r="C709" s="3" t="s">
        <v>489</v>
      </c>
      <c r="D709" s="4" t="s">
        <v>11</v>
      </c>
      <c r="E709" s="5"/>
      <c r="F709" s="6"/>
      <c r="G709" s="6">
        <v>159917</v>
      </c>
      <c r="H709" s="19">
        <v>6949299</v>
      </c>
      <c r="I709" s="20"/>
      <c r="J709" s="20"/>
      <c r="K709" s="21"/>
    </row>
    <row r="710" spans="1:11" x14ac:dyDescent="0.3">
      <c r="A710" s="17" t="s">
        <v>488</v>
      </c>
      <c r="B710" s="18"/>
      <c r="C710" s="3" t="s">
        <v>490</v>
      </c>
      <c r="D710" s="4" t="s">
        <v>11</v>
      </c>
      <c r="E710" s="5"/>
      <c r="F710" s="6"/>
      <c r="G710" s="6">
        <v>53887</v>
      </c>
      <c r="H710" s="19">
        <v>6789382</v>
      </c>
      <c r="I710" s="20"/>
      <c r="J710" s="20"/>
      <c r="K710" s="21"/>
    </row>
    <row r="711" spans="1:11" x14ac:dyDescent="0.3">
      <c r="A711" s="17" t="s">
        <v>488</v>
      </c>
      <c r="B711" s="18"/>
      <c r="C711" s="3" t="s">
        <v>491</v>
      </c>
      <c r="D711" s="4" t="s">
        <v>11</v>
      </c>
      <c r="E711" s="5"/>
      <c r="F711" s="6"/>
      <c r="G711" s="6">
        <v>162750</v>
      </c>
      <c r="H711" s="19">
        <v>6735495</v>
      </c>
      <c r="I711" s="20"/>
      <c r="J711" s="20"/>
      <c r="K711" s="21"/>
    </row>
    <row r="712" spans="1:11" x14ac:dyDescent="0.3">
      <c r="A712" s="17" t="s">
        <v>488</v>
      </c>
      <c r="B712" s="18"/>
      <c r="C712" s="3" t="s">
        <v>17</v>
      </c>
      <c r="D712" s="4" t="s">
        <v>18</v>
      </c>
      <c r="E712" s="5"/>
      <c r="F712" s="6"/>
      <c r="G712" s="6">
        <v>174939</v>
      </c>
      <c r="H712" s="19">
        <v>6572745</v>
      </c>
      <c r="I712" s="20"/>
      <c r="J712" s="20"/>
      <c r="K712" s="21"/>
    </row>
    <row r="713" spans="1:11" x14ac:dyDescent="0.3">
      <c r="A713" s="17" t="s">
        <v>488</v>
      </c>
      <c r="B713" s="18"/>
      <c r="C713" s="3" t="s">
        <v>492</v>
      </c>
      <c r="D713" s="4" t="s">
        <v>11</v>
      </c>
      <c r="E713" s="5"/>
      <c r="F713" s="6"/>
      <c r="G713" s="6">
        <v>157794</v>
      </c>
      <c r="H713" s="19">
        <v>6397806</v>
      </c>
      <c r="I713" s="20"/>
      <c r="J713" s="20"/>
      <c r="K713" s="21"/>
    </row>
    <row r="714" spans="1:11" x14ac:dyDescent="0.3">
      <c r="A714" s="17" t="s">
        <v>488</v>
      </c>
      <c r="B714" s="18"/>
      <c r="C714" s="3" t="s">
        <v>67</v>
      </c>
      <c r="D714" s="4" t="s">
        <v>11</v>
      </c>
      <c r="E714" s="5"/>
      <c r="F714" s="6"/>
      <c r="G714" s="6">
        <v>50068</v>
      </c>
      <c r="H714" s="19">
        <v>6240012</v>
      </c>
      <c r="I714" s="20"/>
      <c r="J714" s="20"/>
      <c r="K714" s="21"/>
    </row>
    <row r="715" spans="1:11" x14ac:dyDescent="0.3">
      <c r="A715" s="17" t="s">
        <v>488</v>
      </c>
      <c r="B715" s="18"/>
      <c r="C715" s="3" t="s">
        <v>493</v>
      </c>
      <c r="D715" s="4" t="s">
        <v>11</v>
      </c>
      <c r="E715" s="5"/>
      <c r="F715" s="6">
        <v>1924148</v>
      </c>
      <c r="G715" s="6"/>
      <c r="H715" s="19">
        <v>6189944</v>
      </c>
      <c r="I715" s="20"/>
      <c r="J715" s="20"/>
      <c r="K715" s="21"/>
    </row>
    <row r="716" spans="1:11" x14ac:dyDescent="0.3">
      <c r="A716" s="17" t="s">
        <v>488</v>
      </c>
      <c r="B716" s="18"/>
      <c r="C716" s="3" t="s">
        <v>39</v>
      </c>
      <c r="D716" s="4" t="s">
        <v>11</v>
      </c>
      <c r="E716" s="5"/>
      <c r="F716" s="6"/>
      <c r="G716" s="6">
        <v>380000</v>
      </c>
      <c r="H716" s="19">
        <v>8114092</v>
      </c>
      <c r="I716" s="20"/>
      <c r="J716" s="20"/>
      <c r="K716" s="21"/>
    </row>
    <row r="717" spans="1:11" x14ac:dyDescent="0.3">
      <c r="A717" s="17" t="s">
        <v>488</v>
      </c>
      <c r="B717" s="18"/>
      <c r="C717" s="3" t="s">
        <v>154</v>
      </c>
      <c r="D717" s="4" t="s">
        <v>18</v>
      </c>
      <c r="E717" s="5"/>
      <c r="F717" s="6"/>
      <c r="G717" s="6">
        <v>313446</v>
      </c>
      <c r="H717" s="19">
        <v>7734092</v>
      </c>
      <c r="I717" s="20"/>
      <c r="J717" s="20"/>
      <c r="K717" s="21"/>
    </row>
    <row r="718" spans="1:11" x14ac:dyDescent="0.3">
      <c r="A718" s="17" t="s">
        <v>488</v>
      </c>
      <c r="B718" s="18"/>
      <c r="C718" s="3" t="s">
        <v>136</v>
      </c>
      <c r="D718" s="4" t="s">
        <v>18</v>
      </c>
      <c r="E718" s="5"/>
      <c r="F718" s="6"/>
      <c r="G718" s="6">
        <v>4784419</v>
      </c>
      <c r="H718" s="19">
        <v>7420646</v>
      </c>
      <c r="I718" s="20"/>
      <c r="J718" s="20"/>
      <c r="K718" s="21"/>
    </row>
    <row r="719" spans="1:11" x14ac:dyDescent="0.3">
      <c r="A719" s="17" t="s">
        <v>488</v>
      </c>
      <c r="B719" s="18"/>
      <c r="C719" s="3" t="s">
        <v>29</v>
      </c>
      <c r="D719" s="4" t="s">
        <v>11</v>
      </c>
      <c r="E719" s="5"/>
      <c r="F719" s="6"/>
      <c r="G719" s="6">
        <v>785222</v>
      </c>
      <c r="H719" s="19">
        <v>2636227</v>
      </c>
      <c r="I719" s="20"/>
      <c r="J719" s="20"/>
      <c r="K719" s="21"/>
    </row>
    <row r="720" spans="1:11" x14ac:dyDescent="0.3">
      <c r="A720" s="17" t="s">
        <v>488</v>
      </c>
      <c r="B720" s="18"/>
      <c r="C720" s="3" t="s">
        <v>138</v>
      </c>
      <c r="D720" s="4" t="s">
        <v>11</v>
      </c>
      <c r="E720" s="5"/>
      <c r="F720" s="6">
        <v>74999</v>
      </c>
      <c r="G720" s="6"/>
      <c r="H720" s="19">
        <v>1851005</v>
      </c>
      <c r="I720" s="20"/>
      <c r="J720" s="20"/>
      <c r="K720" s="21"/>
    </row>
    <row r="721" spans="1:11" x14ac:dyDescent="0.3">
      <c r="A721" s="17" t="s">
        <v>494</v>
      </c>
      <c r="B721" s="18"/>
      <c r="C721" s="3" t="s">
        <v>232</v>
      </c>
      <c r="D721" s="4" t="s">
        <v>11</v>
      </c>
      <c r="E721" s="5"/>
      <c r="F721" s="6"/>
      <c r="G721" s="6">
        <v>122094</v>
      </c>
      <c r="H721" s="19">
        <v>1926004</v>
      </c>
      <c r="I721" s="20"/>
      <c r="J721" s="20"/>
      <c r="K721" s="21"/>
    </row>
    <row r="722" spans="1:11" x14ac:dyDescent="0.3">
      <c r="A722" s="17" t="s">
        <v>494</v>
      </c>
      <c r="B722" s="18"/>
      <c r="C722" s="3" t="s">
        <v>17</v>
      </c>
      <c r="D722" s="4" t="s">
        <v>18</v>
      </c>
      <c r="E722" s="5"/>
      <c r="F722" s="6"/>
      <c r="G722" s="6">
        <v>63170</v>
      </c>
      <c r="H722" s="19">
        <v>1803910</v>
      </c>
      <c r="I722" s="20"/>
      <c r="J722" s="20"/>
      <c r="K722" s="21"/>
    </row>
    <row r="723" spans="1:11" x14ac:dyDescent="0.3">
      <c r="A723" s="17" t="s">
        <v>494</v>
      </c>
      <c r="B723" s="18"/>
      <c r="C723" s="3" t="s">
        <v>495</v>
      </c>
      <c r="D723" s="4" t="s">
        <v>18</v>
      </c>
      <c r="E723" s="5"/>
      <c r="F723" s="6"/>
      <c r="G723" s="6">
        <v>254898</v>
      </c>
      <c r="H723" s="19">
        <v>1740740</v>
      </c>
      <c r="I723" s="20"/>
      <c r="J723" s="20"/>
      <c r="K723" s="21"/>
    </row>
    <row r="724" spans="1:11" x14ac:dyDescent="0.3">
      <c r="A724" s="17" t="s">
        <v>494</v>
      </c>
      <c r="B724" s="18"/>
      <c r="C724" s="3" t="s">
        <v>270</v>
      </c>
      <c r="D724" s="4" t="s">
        <v>18</v>
      </c>
      <c r="E724" s="5"/>
      <c r="F724" s="6"/>
      <c r="G724" s="6">
        <v>165160</v>
      </c>
      <c r="H724" s="19">
        <v>1485842</v>
      </c>
      <c r="I724" s="20"/>
      <c r="J724" s="20"/>
      <c r="K724" s="21"/>
    </row>
    <row r="725" spans="1:11" x14ac:dyDescent="0.3">
      <c r="A725" s="17" t="s">
        <v>496</v>
      </c>
      <c r="B725" s="18"/>
      <c r="C725" s="3" t="s">
        <v>497</v>
      </c>
      <c r="D725" s="4" t="s">
        <v>11</v>
      </c>
      <c r="E725" s="5"/>
      <c r="F725" s="6"/>
      <c r="G725" s="6">
        <v>29970</v>
      </c>
      <c r="H725" s="19">
        <v>1320682</v>
      </c>
      <c r="I725" s="20"/>
      <c r="J725" s="20"/>
      <c r="K725" s="21"/>
    </row>
    <row r="726" spans="1:11" x14ac:dyDescent="0.3">
      <c r="A726" s="17" t="s">
        <v>496</v>
      </c>
      <c r="B726" s="18"/>
      <c r="C726" s="3" t="s">
        <v>448</v>
      </c>
      <c r="D726" s="4" t="s">
        <v>11</v>
      </c>
      <c r="E726" s="5"/>
      <c r="F726" s="6"/>
      <c r="G726" s="6">
        <v>58800</v>
      </c>
      <c r="H726" s="19">
        <v>1290712</v>
      </c>
      <c r="I726" s="20"/>
      <c r="J726" s="20"/>
      <c r="K726" s="21"/>
    </row>
    <row r="727" spans="1:11" x14ac:dyDescent="0.3">
      <c r="A727" s="17" t="s">
        <v>496</v>
      </c>
      <c r="B727" s="18"/>
      <c r="C727" s="3" t="s">
        <v>17</v>
      </c>
      <c r="D727" s="4" t="s">
        <v>18</v>
      </c>
      <c r="E727" s="5"/>
      <c r="F727" s="6"/>
      <c r="G727" s="6">
        <v>46505</v>
      </c>
      <c r="H727" s="19">
        <v>1231912</v>
      </c>
      <c r="I727" s="20"/>
      <c r="J727" s="20"/>
      <c r="K727" s="21"/>
    </row>
    <row r="728" spans="1:11" x14ac:dyDescent="0.3">
      <c r="A728" s="17" t="s">
        <v>496</v>
      </c>
      <c r="B728" s="18"/>
      <c r="C728" s="3" t="s">
        <v>498</v>
      </c>
      <c r="D728" s="4" t="s">
        <v>11</v>
      </c>
      <c r="E728" s="5"/>
      <c r="F728" s="6"/>
      <c r="G728" s="6">
        <v>107100</v>
      </c>
      <c r="H728" s="19">
        <v>1185407</v>
      </c>
      <c r="I728" s="20"/>
      <c r="J728" s="20"/>
      <c r="K728" s="21"/>
    </row>
    <row r="729" spans="1:11" x14ac:dyDescent="0.3">
      <c r="A729" s="17" t="s">
        <v>496</v>
      </c>
      <c r="B729" s="18"/>
      <c r="C729" s="3" t="s">
        <v>76</v>
      </c>
      <c r="D729" s="4" t="s">
        <v>18</v>
      </c>
      <c r="E729" s="5"/>
      <c r="F729" s="6"/>
      <c r="G729" s="6">
        <v>178820</v>
      </c>
      <c r="H729" s="19">
        <v>1078307</v>
      </c>
      <c r="I729" s="20"/>
      <c r="J729" s="20"/>
      <c r="K729" s="21"/>
    </row>
    <row r="730" spans="1:11" x14ac:dyDescent="0.3">
      <c r="A730" s="17" t="s">
        <v>496</v>
      </c>
      <c r="B730" s="18"/>
      <c r="C730" s="3" t="s">
        <v>499</v>
      </c>
      <c r="D730" s="4" t="s">
        <v>11</v>
      </c>
      <c r="E730" s="5"/>
      <c r="F730" s="6"/>
      <c r="G730" s="6">
        <v>64260</v>
      </c>
      <c r="H730" s="19">
        <v>899487</v>
      </c>
      <c r="I730" s="20"/>
      <c r="J730" s="20"/>
      <c r="K730" s="21"/>
    </row>
    <row r="731" spans="1:11" x14ac:dyDescent="0.3">
      <c r="A731" s="17" t="s">
        <v>496</v>
      </c>
      <c r="B731" s="18"/>
      <c r="C731" s="3" t="s">
        <v>102</v>
      </c>
      <c r="D731" s="4" t="s">
        <v>11</v>
      </c>
      <c r="E731" s="5"/>
      <c r="F731" s="6"/>
      <c r="G731" s="6">
        <v>43805</v>
      </c>
      <c r="H731" s="19">
        <v>835227</v>
      </c>
      <c r="I731" s="20"/>
      <c r="J731" s="20"/>
      <c r="K731" s="21"/>
    </row>
    <row r="732" spans="1:11" x14ac:dyDescent="0.3">
      <c r="A732" s="17" t="s">
        <v>500</v>
      </c>
      <c r="B732" s="18"/>
      <c r="C732" s="3" t="s">
        <v>143</v>
      </c>
      <c r="D732" s="4" t="s">
        <v>18</v>
      </c>
      <c r="E732" s="5"/>
      <c r="F732" s="6">
        <v>7541</v>
      </c>
      <c r="G732" s="6"/>
      <c r="H732" s="19">
        <v>791422</v>
      </c>
      <c r="I732" s="20"/>
      <c r="J732" s="20"/>
      <c r="K732" s="21"/>
    </row>
    <row r="733" spans="1:11" x14ac:dyDescent="0.3">
      <c r="A733" s="17" t="s">
        <v>500</v>
      </c>
      <c r="B733" s="18"/>
      <c r="C733" s="3" t="s">
        <v>143</v>
      </c>
      <c r="D733" s="4" t="s">
        <v>18</v>
      </c>
      <c r="E733" s="5"/>
      <c r="F733" s="6">
        <v>16019</v>
      </c>
      <c r="G733" s="6"/>
      <c r="H733" s="19">
        <v>798963</v>
      </c>
      <c r="I733" s="20"/>
      <c r="J733" s="20"/>
      <c r="K733" s="21"/>
    </row>
    <row r="734" spans="1:11" x14ac:dyDescent="0.3">
      <c r="A734" s="17" t="s">
        <v>500</v>
      </c>
      <c r="B734" s="18"/>
      <c r="C734" s="3" t="s">
        <v>501</v>
      </c>
      <c r="D734" s="4" t="s">
        <v>11</v>
      </c>
      <c r="E734" s="5"/>
      <c r="F734" s="6"/>
      <c r="G734" s="6">
        <v>28120</v>
      </c>
      <c r="H734" s="19">
        <v>814982</v>
      </c>
      <c r="I734" s="20"/>
      <c r="J734" s="20"/>
      <c r="K734" s="21"/>
    </row>
    <row r="735" spans="1:11" x14ac:dyDescent="0.3">
      <c r="A735" s="17" t="s">
        <v>500</v>
      </c>
      <c r="B735" s="18"/>
      <c r="C735" s="3" t="s">
        <v>17</v>
      </c>
      <c r="D735" s="4" t="s">
        <v>18</v>
      </c>
      <c r="E735" s="5"/>
      <c r="F735" s="6"/>
      <c r="G735" s="6">
        <v>177402</v>
      </c>
      <c r="H735" s="19">
        <v>786862</v>
      </c>
      <c r="I735" s="20"/>
      <c r="J735" s="20"/>
      <c r="K735" s="21"/>
    </row>
    <row r="736" spans="1:11" x14ac:dyDescent="0.3">
      <c r="A736" s="17" t="s">
        <v>500</v>
      </c>
      <c r="B736" s="18"/>
      <c r="C736" s="3" t="s">
        <v>25</v>
      </c>
      <c r="D736" s="4" t="s">
        <v>11</v>
      </c>
      <c r="E736" s="5"/>
      <c r="F736" s="6"/>
      <c r="G736" s="6">
        <v>145192</v>
      </c>
      <c r="H736" s="19">
        <v>609460</v>
      </c>
      <c r="I736" s="20"/>
      <c r="J736" s="20"/>
      <c r="K736" s="21"/>
    </row>
    <row r="737" spans="1:11" x14ac:dyDescent="0.3">
      <c r="A737" s="17" t="s">
        <v>500</v>
      </c>
      <c r="B737" s="18"/>
      <c r="C737" s="3" t="s">
        <v>502</v>
      </c>
      <c r="D737" s="4" t="s">
        <v>11</v>
      </c>
      <c r="E737" s="5"/>
      <c r="F737" s="6"/>
      <c r="G737" s="6">
        <v>170548</v>
      </c>
      <c r="H737" s="19">
        <v>464268</v>
      </c>
      <c r="I737" s="20"/>
      <c r="J737" s="20"/>
      <c r="K737" s="21"/>
    </row>
    <row r="738" spans="1:11" x14ac:dyDescent="0.3">
      <c r="A738" s="17" t="s">
        <v>500</v>
      </c>
      <c r="B738" s="18"/>
      <c r="C738" s="3" t="s">
        <v>84</v>
      </c>
      <c r="D738" s="4" t="s">
        <v>11</v>
      </c>
      <c r="E738" s="5"/>
      <c r="F738" s="6">
        <v>21000</v>
      </c>
      <c r="G738" s="6"/>
      <c r="H738" s="19">
        <v>293720</v>
      </c>
      <c r="I738" s="20"/>
      <c r="J738" s="20"/>
      <c r="K738" s="21"/>
    </row>
    <row r="739" spans="1:11" x14ac:dyDescent="0.3">
      <c r="A739" s="17" t="s">
        <v>500</v>
      </c>
      <c r="B739" s="18"/>
      <c r="C739" s="3" t="s">
        <v>149</v>
      </c>
      <c r="D739" s="4" t="s">
        <v>11</v>
      </c>
      <c r="E739" s="5"/>
      <c r="F739" s="6">
        <v>95000</v>
      </c>
      <c r="G739" s="6"/>
      <c r="H739" s="19">
        <v>314720</v>
      </c>
      <c r="I739" s="20"/>
      <c r="J739" s="20"/>
      <c r="K739" s="21"/>
    </row>
    <row r="740" spans="1:11" x14ac:dyDescent="0.3">
      <c r="A740" s="17" t="s">
        <v>500</v>
      </c>
      <c r="B740" s="18"/>
      <c r="C740" s="3" t="s">
        <v>148</v>
      </c>
      <c r="D740" s="4" t="s">
        <v>11</v>
      </c>
      <c r="E740" s="5"/>
      <c r="F740" s="6">
        <v>90000</v>
      </c>
      <c r="G740" s="6"/>
      <c r="H740" s="19">
        <v>409720</v>
      </c>
      <c r="I740" s="20"/>
      <c r="J740" s="20"/>
      <c r="K740" s="21"/>
    </row>
    <row r="741" spans="1:11" x14ac:dyDescent="0.3">
      <c r="A741" s="17" t="s">
        <v>500</v>
      </c>
      <c r="B741" s="18"/>
      <c r="C741" s="3" t="s">
        <v>150</v>
      </c>
      <c r="D741" s="4" t="s">
        <v>11</v>
      </c>
      <c r="E741" s="5"/>
      <c r="F741" s="6">
        <v>700000</v>
      </c>
      <c r="G741" s="6"/>
      <c r="H741" s="19">
        <v>499720</v>
      </c>
      <c r="I741" s="20"/>
      <c r="J741" s="20"/>
      <c r="K741" s="21"/>
    </row>
    <row r="742" spans="1:11" x14ac:dyDescent="0.3">
      <c r="A742" s="17" t="s">
        <v>500</v>
      </c>
      <c r="B742" s="18"/>
      <c r="C742" s="3" t="s">
        <v>503</v>
      </c>
      <c r="D742" s="4" t="s">
        <v>11</v>
      </c>
      <c r="E742" s="5"/>
      <c r="F742" s="6"/>
      <c r="G742" s="6">
        <v>59412</v>
      </c>
      <c r="H742" s="19">
        <v>1199720</v>
      </c>
      <c r="I742" s="20"/>
      <c r="J742" s="20"/>
      <c r="K742" s="21"/>
    </row>
    <row r="743" spans="1:11" x14ac:dyDescent="0.3">
      <c r="A743" s="17" t="s">
        <v>504</v>
      </c>
      <c r="B743" s="18"/>
      <c r="C743" s="3" t="s">
        <v>48</v>
      </c>
      <c r="D743" s="4" t="s">
        <v>9</v>
      </c>
      <c r="E743" s="5"/>
      <c r="F743" s="6">
        <v>17162</v>
      </c>
      <c r="G743" s="6"/>
      <c r="H743" s="19">
        <v>1140308</v>
      </c>
      <c r="I743" s="20"/>
      <c r="J743" s="20"/>
      <c r="K743" s="21"/>
    </row>
    <row r="744" spans="1:11" x14ac:dyDescent="0.3">
      <c r="A744" s="17" t="s">
        <v>504</v>
      </c>
      <c r="B744" s="18"/>
      <c r="C744" s="3" t="s">
        <v>505</v>
      </c>
      <c r="D744" s="4" t="s">
        <v>11</v>
      </c>
      <c r="E744" s="5"/>
      <c r="F744" s="6"/>
      <c r="G744" s="6">
        <v>46980</v>
      </c>
      <c r="H744" s="19">
        <v>1157470</v>
      </c>
      <c r="I744" s="20"/>
      <c r="J744" s="20"/>
      <c r="K744" s="21"/>
    </row>
    <row r="745" spans="1:11" x14ac:dyDescent="0.3">
      <c r="A745" s="17" t="s">
        <v>504</v>
      </c>
      <c r="B745" s="18"/>
      <c r="C745" s="3" t="s">
        <v>506</v>
      </c>
      <c r="D745" s="4" t="s">
        <v>11</v>
      </c>
      <c r="E745" s="5"/>
      <c r="F745" s="6"/>
      <c r="G745" s="6">
        <v>55959</v>
      </c>
      <c r="H745" s="19">
        <v>1110490</v>
      </c>
      <c r="I745" s="20"/>
      <c r="J745" s="20"/>
      <c r="K745" s="21"/>
    </row>
    <row r="746" spans="1:11" x14ac:dyDescent="0.3">
      <c r="A746" s="17" t="s">
        <v>504</v>
      </c>
      <c r="B746" s="18"/>
      <c r="C746" s="3" t="s">
        <v>17</v>
      </c>
      <c r="D746" s="4" t="s">
        <v>18</v>
      </c>
      <c r="E746" s="5"/>
      <c r="F746" s="6"/>
      <c r="G746" s="6">
        <v>414393</v>
      </c>
      <c r="H746" s="19">
        <v>1054531</v>
      </c>
      <c r="I746" s="20"/>
      <c r="J746" s="20"/>
      <c r="K746" s="21"/>
    </row>
    <row r="747" spans="1:11" x14ac:dyDescent="0.3">
      <c r="A747" s="17" t="s">
        <v>504</v>
      </c>
      <c r="B747" s="18"/>
      <c r="C747" s="3" t="s">
        <v>507</v>
      </c>
      <c r="D747" s="4" t="s">
        <v>11</v>
      </c>
      <c r="E747" s="5"/>
      <c r="F747" s="6"/>
      <c r="G747" s="6">
        <v>428400</v>
      </c>
      <c r="H747" s="19">
        <v>640138</v>
      </c>
      <c r="I747" s="20"/>
      <c r="J747" s="20"/>
      <c r="K747" s="21"/>
    </row>
    <row r="748" spans="1:11" x14ac:dyDescent="0.3">
      <c r="A748" s="17" t="s">
        <v>504</v>
      </c>
      <c r="B748" s="18"/>
      <c r="C748" s="3" t="s">
        <v>508</v>
      </c>
      <c r="D748" s="4" t="s">
        <v>11</v>
      </c>
      <c r="E748" s="5"/>
      <c r="F748" s="6"/>
      <c r="G748" s="6">
        <v>191190</v>
      </c>
      <c r="H748" s="19">
        <v>211738</v>
      </c>
      <c r="I748" s="20"/>
      <c r="J748" s="20"/>
      <c r="K748" s="21"/>
    </row>
    <row r="749" spans="1:11" x14ac:dyDescent="0.3">
      <c r="A749" s="17" t="s">
        <v>504</v>
      </c>
      <c r="B749" s="18"/>
      <c r="C749" s="3" t="s">
        <v>509</v>
      </c>
      <c r="D749" s="4" t="s">
        <v>11</v>
      </c>
      <c r="E749" s="5"/>
      <c r="F749" s="6"/>
      <c r="G749" s="6">
        <v>20548</v>
      </c>
      <c r="H749" s="19">
        <v>20548</v>
      </c>
      <c r="I749" s="20"/>
      <c r="J749" s="20"/>
      <c r="K749" s="21"/>
    </row>
    <row r="750" spans="1:11" x14ac:dyDescent="0.3">
      <c r="A750" s="17" t="s">
        <v>510</v>
      </c>
      <c r="B750" s="18"/>
      <c r="C750" s="3" t="s">
        <v>48</v>
      </c>
      <c r="D750" s="4" t="s">
        <v>9</v>
      </c>
      <c r="E750" s="5"/>
      <c r="F750" s="6">
        <v>593147</v>
      </c>
      <c r="G750" s="6"/>
      <c r="H750" s="19">
        <v>0</v>
      </c>
      <c r="I750" s="20"/>
      <c r="J750" s="20"/>
      <c r="K750" s="21"/>
    </row>
    <row r="751" spans="1:11" x14ac:dyDescent="0.3">
      <c r="A751" s="17" t="s">
        <v>510</v>
      </c>
      <c r="B751" s="18"/>
      <c r="C751" s="3" t="s">
        <v>152</v>
      </c>
      <c r="D751" s="4" t="s">
        <v>9</v>
      </c>
      <c r="E751" s="5"/>
      <c r="F751" s="6">
        <v>6796</v>
      </c>
      <c r="G751" s="6"/>
      <c r="H751" s="19">
        <v>593147</v>
      </c>
      <c r="I751" s="20"/>
      <c r="J751" s="20"/>
      <c r="K751" s="21"/>
    </row>
    <row r="752" spans="1:11" x14ac:dyDescent="0.3">
      <c r="A752" s="17" t="s">
        <v>510</v>
      </c>
      <c r="B752" s="18"/>
      <c r="C752" s="3" t="s">
        <v>153</v>
      </c>
      <c r="D752" s="4" t="s">
        <v>9</v>
      </c>
      <c r="E752" s="5"/>
      <c r="F752" s="6">
        <v>825</v>
      </c>
      <c r="G752" s="6"/>
      <c r="H752" s="19">
        <v>599943</v>
      </c>
      <c r="I752" s="20"/>
      <c r="J752" s="20"/>
      <c r="K752" s="21"/>
    </row>
    <row r="753" spans="1:11" x14ac:dyDescent="0.3">
      <c r="A753" s="17" t="s">
        <v>510</v>
      </c>
      <c r="B753" s="18"/>
      <c r="C753" s="3" t="s">
        <v>511</v>
      </c>
      <c r="D753" s="4" t="s">
        <v>11</v>
      </c>
      <c r="E753" s="5"/>
      <c r="F753" s="6"/>
      <c r="G753" s="6">
        <v>412095</v>
      </c>
      <c r="H753" s="19">
        <v>600768</v>
      </c>
      <c r="I753" s="20"/>
      <c r="J753" s="20"/>
      <c r="K753" s="21"/>
    </row>
    <row r="754" spans="1:11" x14ac:dyDescent="0.3">
      <c r="A754" s="17" t="s">
        <v>510</v>
      </c>
      <c r="B754" s="18"/>
      <c r="C754" s="3" t="s">
        <v>17</v>
      </c>
      <c r="D754" s="4" t="s">
        <v>18</v>
      </c>
      <c r="E754" s="5"/>
      <c r="F754" s="6"/>
      <c r="G754" s="6">
        <v>51128</v>
      </c>
      <c r="H754" s="19">
        <v>188673</v>
      </c>
      <c r="I754" s="20"/>
      <c r="J754" s="20"/>
      <c r="K754" s="21"/>
    </row>
    <row r="755" spans="1:11" x14ac:dyDescent="0.3">
      <c r="A755" s="17" t="s">
        <v>510</v>
      </c>
      <c r="B755" s="18"/>
      <c r="C755" s="3" t="s">
        <v>215</v>
      </c>
      <c r="D755" s="4" t="s">
        <v>11</v>
      </c>
      <c r="E755" s="5"/>
      <c r="F755" s="6"/>
      <c r="G755" s="6">
        <v>137545</v>
      </c>
      <c r="H755" s="19">
        <v>137545</v>
      </c>
      <c r="I755" s="20"/>
      <c r="J755" s="20"/>
      <c r="K755" s="21"/>
    </row>
    <row r="756" spans="1:11" x14ac:dyDescent="0.3">
      <c r="A756" s="17" t="s">
        <v>512</v>
      </c>
      <c r="B756" s="18"/>
      <c r="C756" s="3" t="s">
        <v>8</v>
      </c>
      <c r="D756" s="4" t="s">
        <v>9</v>
      </c>
      <c r="E756" s="5"/>
      <c r="F756" s="6"/>
      <c r="G756" s="6">
        <v>610309</v>
      </c>
      <c r="H756" s="19">
        <v>0</v>
      </c>
      <c r="I756" s="20"/>
      <c r="J756" s="20"/>
      <c r="K756" s="21"/>
    </row>
    <row r="757" spans="1:11" x14ac:dyDescent="0.3">
      <c r="A757" s="17" t="s">
        <v>512</v>
      </c>
      <c r="B757" s="18"/>
      <c r="C757" s="3" t="s">
        <v>513</v>
      </c>
      <c r="D757" s="4" t="s">
        <v>11</v>
      </c>
      <c r="E757" s="5"/>
      <c r="F757" s="6"/>
      <c r="G757" s="6">
        <v>24560</v>
      </c>
      <c r="H757" s="19">
        <v>-610309</v>
      </c>
      <c r="I757" s="20"/>
      <c r="J757" s="20"/>
      <c r="K757" s="21"/>
    </row>
    <row r="758" spans="1:11" x14ac:dyDescent="0.3">
      <c r="A758" s="17" t="s">
        <v>512</v>
      </c>
      <c r="B758" s="18"/>
      <c r="C758" s="3" t="s">
        <v>19</v>
      </c>
      <c r="D758" s="4" t="s">
        <v>18</v>
      </c>
      <c r="E758" s="5"/>
      <c r="F758" s="6">
        <v>3849321</v>
      </c>
      <c r="G758" s="6"/>
      <c r="H758" s="19">
        <v>-634869</v>
      </c>
      <c r="I758" s="20"/>
      <c r="J758" s="20"/>
      <c r="K758" s="21"/>
    </row>
    <row r="759" spans="1:11" x14ac:dyDescent="0.3">
      <c r="A759" s="17" t="s">
        <v>512</v>
      </c>
      <c r="B759" s="18"/>
      <c r="C759" s="3" t="s">
        <v>289</v>
      </c>
      <c r="D759" s="4" t="s">
        <v>11</v>
      </c>
      <c r="E759" s="5"/>
      <c r="F759" s="6"/>
      <c r="G759" s="6">
        <v>69589</v>
      </c>
      <c r="H759" s="19">
        <v>3214452</v>
      </c>
      <c r="I759" s="20"/>
      <c r="J759" s="20"/>
      <c r="K759" s="21"/>
    </row>
    <row r="760" spans="1:11" x14ac:dyDescent="0.3">
      <c r="A760" s="17" t="s">
        <v>512</v>
      </c>
      <c r="B760" s="18"/>
      <c r="C760" s="3" t="s">
        <v>17</v>
      </c>
      <c r="D760" s="4" t="s">
        <v>18</v>
      </c>
      <c r="E760" s="5"/>
      <c r="F760" s="6"/>
      <c r="G760" s="6">
        <v>173685</v>
      </c>
      <c r="H760" s="19">
        <v>3144863</v>
      </c>
      <c r="I760" s="20"/>
      <c r="J760" s="20"/>
      <c r="K760" s="21"/>
    </row>
    <row r="761" spans="1:11" x14ac:dyDescent="0.3">
      <c r="A761" s="17" t="s">
        <v>512</v>
      </c>
      <c r="B761" s="18"/>
      <c r="C761" s="3" t="s">
        <v>160</v>
      </c>
      <c r="D761" s="4" t="s">
        <v>18</v>
      </c>
      <c r="E761" s="5"/>
      <c r="F761" s="6"/>
      <c r="G761" s="6">
        <v>621132</v>
      </c>
      <c r="H761" s="19">
        <v>2971178</v>
      </c>
      <c r="I761" s="20"/>
      <c r="J761" s="20"/>
      <c r="K761" s="21"/>
    </row>
    <row r="762" spans="1:11" x14ac:dyDescent="0.3">
      <c r="A762" s="17" t="s">
        <v>512</v>
      </c>
      <c r="B762" s="18"/>
      <c r="C762" s="3" t="s">
        <v>219</v>
      </c>
      <c r="D762" s="4" t="s">
        <v>18</v>
      </c>
      <c r="E762" s="5"/>
      <c r="F762" s="6"/>
      <c r="G762" s="6">
        <v>390650</v>
      </c>
      <c r="H762" s="19">
        <v>2350046</v>
      </c>
      <c r="I762" s="20"/>
      <c r="J762" s="20"/>
      <c r="K762" s="21"/>
    </row>
    <row r="763" spans="1:11" x14ac:dyDescent="0.3">
      <c r="A763" s="17" t="s">
        <v>512</v>
      </c>
      <c r="B763" s="18"/>
      <c r="C763" s="3" t="s">
        <v>32</v>
      </c>
      <c r="D763" s="4" t="s">
        <v>18</v>
      </c>
      <c r="E763" s="5"/>
      <c r="F763" s="6"/>
      <c r="G763" s="6">
        <v>1379403</v>
      </c>
      <c r="H763" s="19">
        <v>1959396</v>
      </c>
      <c r="I763" s="20"/>
      <c r="J763" s="20"/>
      <c r="K763" s="21"/>
    </row>
    <row r="764" spans="1:11" x14ac:dyDescent="0.3">
      <c r="A764" s="17" t="s">
        <v>512</v>
      </c>
      <c r="B764" s="18"/>
      <c r="C764" s="3" t="s">
        <v>292</v>
      </c>
      <c r="D764" s="4" t="s">
        <v>11</v>
      </c>
      <c r="E764" s="5"/>
      <c r="F764" s="6"/>
      <c r="G764" s="6">
        <v>146370</v>
      </c>
      <c r="H764" s="19">
        <v>579993</v>
      </c>
      <c r="I764" s="20"/>
      <c r="J764" s="20"/>
      <c r="K764" s="21"/>
    </row>
    <row r="765" spans="1:11" x14ac:dyDescent="0.3">
      <c r="A765" s="17" t="s">
        <v>512</v>
      </c>
      <c r="B765" s="18"/>
      <c r="C765" s="3" t="s">
        <v>514</v>
      </c>
      <c r="D765" s="4" t="s">
        <v>11</v>
      </c>
      <c r="E765" s="5"/>
      <c r="F765" s="6"/>
      <c r="G765" s="6">
        <v>413990</v>
      </c>
      <c r="H765" s="19">
        <v>433623</v>
      </c>
      <c r="I765" s="20"/>
      <c r="J765" s="20"/>
      <c r="K765" s="21"/>
    </row>
    <row r="766" spans="1:11" x14ac:dyDescent="0.3">
      <c r="A766" s="17" t="s">
        <v>515</v>
      </c>
      <c r="B766" s="18"/>
      <c r="C766" s="3" t="s">
        <v>48</v>
      </c>
      <c r="D766" s="4" t="s">
        <v>9</v>
      </c>
      <c r="E766" s="5"/>
      <c r="F766" s="6">
        <v>700317</v>
      </c>
      <c r="G766" s="6"/>
      <c r="H766" s="19">
        <v>0</v>
      </c>
      <c r="I766" s="20"/>
      <c r="J766" s="20"/>
      <c r="K766" s="21"/>
    </row>
    <row r="767" spans="1:11" x14ac:dyDescent="0.3">
      <c r="A767" s="17" t="s">
        <v>515</v>
      </c>
      <c r="B767" s="18"/>
      <c r="C767" s="3" t="s">
        <v>516</v>
      </c>
      <c r="D767" s="4" t="s">
        <v>11</v>
      </c>
      <c r="E767" s="5"/>
      <c r="F767" s="6"/>
      <c r="G767" s="6">
        <v>19650</v>
      </c>
      <c r="H767" s="19">
        <v>700317</v>
      </c>
      <c r="I767" s="20"/>
      <c r="J767" s="20"/>
      <c r="K767" s="21"/>
    </row>
    <row r="768" spans="1:11" x14ac:dyDescent="0.3">
      <c r="A768" s="17" t="s">
        <v>515</v>
      </c>
      <c r="B768" s="18"/>
      <c r="C768" s="3" t="s">
        <v>517</v>
      </c>
      <c r="D768" s="4" t="s">
        <v>11</v>
      </c>
      <c r="E768" s="5"/>
      <c r="F768" s="6"/>
      <c r="G768" s="6">
        <v>27790</v>
      </c>
      <c r="H768" s="19">
        <v>680667</v>
      </c>
      <c r="I768" s="20"/>
      <c r="J768" s="20"/>
      <c r="K768" s="21"/>
    </row>
    <row r="769" spans="1:11" x14ac:dyDescent="0.3">
      <c r="A769" s="17" t="s">
        <v>515</v>
      </c>
      <c r="B769" s="18"/>
      <c r="C769" s="3" t="s">
        <v>518</v>
      </c>
      <c r="D769" s="4" t="s">
        <v>11</v>
      </c>
      <c r="E769" s="5"/>
      <c r="F769" s="6"/>
      <c r="G769" s="6">
        <v>70493</v>
      </c>
      <c r="H769" s="19">
        <v>652877</v>
      </c>
      <c r="I769" s="20"/>
      <c r="J769" s="20"/>
      <c r="K769" s="21"/>
    </row>
    <row r="770" spans="1:11" x14ac:dyDescent="0.3">
      <c r="A770" s="17" t="s">
        <v>515</v>
      </c>
      <c r="B770" s="18"/>
      <c r="C770" s="3" t="s">
        <v>257</v>
      </c>
      <c r="D770" s="4" t="s">
        <v>11</v>
      </c>
      <c r="E770" s="5"/>
      <c r="F770" s="6">
        <v>180000</v>
      </c>
      <c r="G770" s="6"/>
      <c r="H770" s="19">
        <v>582384</v>
      </c>
      <c r="I770" s="20"/>
      <c r="J770" s="20"/>
      <c r="K770" s="21"/>
    </row>
    <row r="771" spans="1:11" x14ac:dyDescent="0.3">
      <c r="A771" s="17" t="s">
        <v>515</v>
      </c>
      <c r="B771" s="18"/>
      <c r="C771" s="3" t="s">
        <v>16</v>
      </c>
      <c r="D771" s="4" t="s">
        <v>11</v>
      </c>
      <c r="E771" s="5"/>
      <c r="F771" s="6">
        <v>297500</v>
      </c>
      <c r="G771" s="6"/>
      <c r="H771" s="19">
        <v>762384</v>
      </c>
      <c r="I771" s="20"/>
      <c r="J771" s="20"/>
      <c r="K771" s="21"/>
    </row>
    <row r="772" spans="1:11" x14ac:dyDescent="0.3">
      <c r="A772" s="17" t="s">
        <v>515</v>
      </c>
      <c r="B772" s="18"/>
      <c r="C772" s="3" t="s">
        <v>215</v>
      </c>
      <c r="D772" s="4" t="s">
        <v>11</v>
      </c>
      <c r="E772" s="5"/>
      <c r="F772" s="6"/>
      <c r="G772" s="6">
        <v>163525</v>
      </c>
      <c r="H772" s="19">
        <v>1059884</v>
      </c>
      <c r="I772" s="20"/>
      <c r="J772" s="20"/>
      <c r="K772" s="21"/>
    </row>
    <row r="773" spans="1:11" x14ac:dyDescent="0.3">
      <c r="A773" s="17" t="s">
        <v>515</v>
      </c>
      <c r="B773" s="18"/>
      <c r="C773" s="3" t="s">
        <v>12</v>
      </c>
      <c r="D773" s="4" t="s">
        <v>11</v>
      </c>
      <c r="E773" s="5"/>
      <c r="F773" s="6"/>
      <c r="G773" s="6">
        <v>896359</v>
      </c>
      <c r="H773" s="19">
        <v>896359</v>
      </c>
      <c r="I773" s="20"/>
      <c r="J773" s="20"/>
      <c r="K773" s="21"/>
    </row>
    <row r="774" spans="1:11" x14ac:dyDescent="0.3">
      <c r="A774" s="17" t="s">
        <v>519</v>
      </c>
      <c r="B774" s="18"/>
      <c r="C774" s="3" t="s">
        <v>8</v>
      </c>
      <c r="D774" s="4" t="s">
        <v>9</v>
      </c>
      <c r="E774" s="5"/>
      <c r="F774" s="6"/>
      <c r="G774" s="6">
        <v>3405905</v>
      </c>
      <c r="H774" s="19">
        <v>0</v>
      </c>
      <c r="I774" s="20"/>
      <c r="J774" s="20"/>
      <c r="K774" s="21"/>
    </row>
    <row r="775" spans="1:11" x14ac:dyDescent="0.3">
      <c r="A775" s="17" t="s">
        <v>519</v>
      </c>
      <c r="B775" s="18"/>
      <c r="C775" s="3" t="s">
        <v>349</v>
      </c>
      <c r="D775" s="4" t="s">
        <v>11</v>
      </c>
      <c r="E775" s="5"/>
      <c r="F775" s="6">
        <v>70210</v>
      </c>
      <c r="G775" s="6"/>
      <c r="H775" s="19">
        <v>-3405905</v>
      </c>
      <c r="I775" s="20"/>
      <c r="J775" s="20"/>
      <c r="K775" s="21"/>
    </row>
    <row r="776" spans="1:11" x14ac:dyDescent="0.3">
      <c r="A776" s="17" t="s">
        <v>519</v>
      </c>
      <c r="B776" s="18"/>
      <c r="C776" s="3" t="s">
        <v>17</v>
      </c>
      <c r="D776" s="4" t="s">
        <v>18</v>
      </c>
      <c r="E776" s="5"/>
      <c r="F776" s="6"/>
      <c r="G776" s="6">
        <v>190466</v>
      </c>
      <c r="H776" s="19">
        <v>-3335695</v>
      </c>
      <c r="I776" s="20"/>
      <c r="J776" s="20"/>
      <c r="K776" s="21"/>
    </row>
    <row r="777" spans="1:11" x14ac:dyDescent="0.3">
      <c r="A777" s="17" t="s">
        <v>519</v>
      </c>
      <c r="B777" s="18"/>
      <c r="C777" s="3" t="s">
        <v>27</v>
      </c>
      <c r="D777" s="4" t="s">
        <v>18</v>
      </c>
      <c r="E777" s="5"/>
      <c r="F777" s="6">
        <v>400000</v>
      </c>
      <c r="G777" s="6"/>
      <c r="H777" s="19">
        <v>-3526161</v>
      </c>
      <c r="I777" s="20"/>
      <c r="J777" s="20"/>
      <c r="K777" s="21"/>
    </row>
    <row r="778" spans="1:11" x14ac:dyDescent="0.3">
      <c r="A778" s="17" t="s">
        <v>519</v>
      </c>
      <c r="B778" s="18"/>
      <c r="C778" s="3" t="s">
        <v>520</v>
      </c>
      <c r="D778" s="4" t="s">
        <v>18</v>
      </c>
      <c r="E778" s="5"/>
      <c r="F778" s="6">
        <v>8108219</v>
      </c>
      <c r="G778" s="6"/>
      <c r="H778" s="19">
        <v>-3126161</v>
      </c>
      <c r="I778" s="20"/>
      <c r="J778" s="20"/>
      <c r="K778" s="21"/>
    </row>
    <row r="779" spans="1:11" x14ac:dyDescent="0.3">
      <c r="A779" s="17" t="s">
        <v>519</v>
      </c>
      <c r="B779" s="18"/>
      <c r="C779" s="3" t="s">
        <v>161</v>
      </c>
      <c r="D779" s="4" t="s">
        <v>11</v>
      </c>
      <c r="E779" s="5"/>
      <c r="F779" s="6"/>
      <c r="G779" s="6">
        <v>230858</v>
      </c>
      <c r="H779" s="19">
        <v>4982058</v>
      </c>
      <c r="I779" s="20"/>
      <c r="J779" s="20"/>
      <c r="K779" s="21"/>
    </row>
    <row r="780" spans="1:11" x14ac:dyDescent="0.3">
      <c r="A780" s="17" t="s">
        <v>519</v>
      </c>
      <c r="B780" s="18"/>
      <c r="C780" s="3" t="s">
        <v>521</v>
      </c>
      <c r="D780" s="4" t="s">
        <v>11</v>
      </c>
      <c r="E780" s="5"/>
      <c r="F780" s="6"/>
      <c r="G780" s="6">
        <v>109087</v>
      </c>
      <c r="H780" s="19">
        <v>4751200</v>
      </c>
      <c r="I780" s="20"/>
      <c r="J780" s="20"/>
      <c r="K780" s="21"/>
    </row>
    <row r="781" spans="1:11" x14ac:dyDescent="0.3">
      <c r="A781" s="17" t="s">
        <v>522</v>
      </c>
      <c r="B781" s="18"/>
      <c r="C781" s="3" t="s">
        <v>86</v>
      </c>
      <c r="D781" s="4" t="s">
        <v>18</v>
      </c>
      <c r="E781" s="5"/>
      <c r="F781" s="6">
        <v>15506</v>
      </c>
      <c r="G781" s="6"/>
      <c r="H781" s="19">
        <v>4642113</v>
      </c>
      <c r="I781" s="20"/>
      <c r="J781" s="20"/>
      <c r="K781" s="21"/>
    </row>
    <row r="782" spans="1:11" x14ac:dyDescent="0.3">
      <c r="A782" s="17" t="s">
        <v>522</v>
      </c>
      <c r="B782" s="18"/>
      <c r="C782" s="3" t="s">
        <v>523</v>
      </c>
      <c r="D782" s="4" t="s">
        <v>11</v>
      </c>
      <c r="E782" s="5"/>
      <c r="F782" s="6"/>
      <c r="G782" s="6">
        <v>20591</v>
      </c>
      <c r="H782" s="19">
        <v>4657619</v>
      </c>
      <c r="I782" s="20"/>
      <c r="J782" s="20"/>
      <c r="K782" s="21"/>
    </row>
    <row r="783" spans="1:11" x14ac:dyDescent="0.3">
      <c r="A783" s="17" t="s">
        <v>522</v>
      </c>
      <c r="B783" s="18"/>
      <c r="C783" s="3" t="s">
        <v>17</v>
      </c>
      <c r="D783" s="4" t="s">
        <v>18</v>
      </c>
      <c r="E783" s="5"/>
      <c r="F783" s="6"/>
      <c r="G783" s="6">
        <v>111401</v>
      </c>
      <c r="H783" s="19">
        <v>4637028</v>
      </c>
      <c r="I783" s="20"/>
      <c r="J783" s="20"/>
      <c r="K783" s="21"/>
    </row>
    <row r="784" spans="1:11" x14ac:dyDescent="0.3">
      <c r="A784" s="17" t="s">
        <v>522</v>
      </c>
      <c r="B784" s="18"/>
      <c r="C784" s="3" t="s">
        <v>285</v>
      </c>
      <c r="D784" s="4" t="s">
        <v>11</v>
      </c>
      <c r="E784" s="5"/>
      <c r="F784" s="6"/>
      <c r="G784" s="6">
        <v>93641</v>
      </c>
      <c r="H784" s="19">
        <v>4525627</v>
      </c>
      <c r="I784" s="20"/>
      <c r="J784" s="20"/>
      <c r="K784" s="21"/>
    </row>
    <row r="785" spans="1:11" x14ac:dyDescent="0.3">
      <c r="A785" s="17" t="s">
        <v>522</v>
      </c>
      <c r="B785" s="18"/>
      <c r="C785" s="3" t="s">
        <v>22</v>
      </c>
      <c r="D785" s="4" t="s">
        <v>18</v>
      </c>
      <c r="E785" s="5"/>
      <c r="F785" s="6">
        <v>8106</v>
      </c>
      <c r="G785" s="6"/>
      <c r="H785" s="19">
        <v>4431986</v>
      </c>
      <c r="I785" s="20"/>
      <c r="J785" s="20"/>
      <c r="K785" s="21"/>
    </row>
    <row r="786" spans="1:11" x14ac:dyDescent="0.3">
      <c r="A786" s="17" t="s">
        <v>522</v>
      </c>
      <c r="B786" s="18"/>
      <c r="C786" s="3" t="s">
        <v>524</v>
      </c>
      <c r="D786" s="4" t="s">
        <v>18</v>
      </c>
      <c r="E786" s="5"/>
      <c r="F786" s="6"/>
      <c r="G786" s="6">
        <v>619109</v>
      </c>
      <c r="H786" s="19">
        <v>4440092</v>
      </c>
      <c r="I786" s="20"/>
      <c r="J786" s="20"/>
      <c r="K786" s="21"/>
    </row>
    <row r="787" spans="1:11" x14ac:dyDescent="0.3">
      <c r="A787" s="17" t="s">
        <v>522</v>
      </c>
      <c r="B787" s="18"/>
      <c r="C787" s="3" t="s">
        <v>525</v>
      </c>
      <c r="D787" s="4" t="s">
        <v>11</v>
      </c>
      <c r="E787" s="5"/>
      <c r="F787" s="6"/>
      <c r="G787" s="6">
        <v>26073</v>
      </c>
      <c r="H787" s="19">
        <v>3820983</v>
      </c>
      <c r="I787" s="20"/>
      <c r="J787" s="20"/>
      <c r="K787" s="21"/>
    </row>
    <row r="788" spans="1:11" x14ac:dyDescent="0.3">
      <c r="A788" s="17" t="s">
        <v>522</v>
      </c>
      <c r="B788" s="18"/>
      <c r="C788" s="3" t="s">
        <v>526</v>
      </c>
      <c r="D788" s="4" t="s">
        <v>11</v>
      </c>
      <c r="E788" s="5"/>
      <c r="F788" s="6"/>
      <c r="G788" s="6">
        <v>36529</v>
      </c>
      <c r="H788" s="19">
        <v>3794910</v>
      </c>
      <c r="I788" s="20"/>
      <c r="J788" s="20"/>
      <c r="K788" s="21"/>
    </row>
    <row r="789" spans="1:11" x14ac:dyDescent="0.3">
      <c r="A789" s="17" t="s">
        <v>522</v>
      </c>
      <c r="B789" s="18"/>
      <c r="C789" s="3" t="s">
        <v>138</v>
      </c>
      <c r="D789" s="4" t="s">
        <v>11</v>
      </c>
      <c r="E789" s="5"/>
      <c r="F789" s="6">
        <v>105883</v>
      </c>
      <c r="G789" s="6"/>
      <c r="H789" s="19">
        <v>3758381</v>
      </c>
      <c r="I789" s="20"/>
      <c r="J789" s="20"/>
      <c r="K789" s="21"/>
    </row>
    <row r="790" spans="1:11" x14ac:dyDescent="0.3">
      <c r="A790" s="17" t="s">
        <v>522</v>
      </c>
      <c r="B790" s="18"/>
      <c r="C790" s="3" t="s">
        <v>12</v>
      </c>
      <c r="D790" s="4" t="s">
        <v>11</v>
      </c>
      <c r="E790" s="5"/>
      <c r="F790" s="6"/>
      <c r="G790" s="6">
        <v>1563660</v>
      </c>
      <c r="H790" s="19">
        <v>3864264</v>
      </c>
      <c r="I790" s="20"/>
      <c r="J790" s="20"/>
      <c r="K790" s="21"/>
    </row>
    <row r="791" spans="1:11" x14ac:dyDescent="0.3">
      <c r="A791" s="17" t="s">
        <v>522</v>
      </c>
      <c r="B791" s="18"/>
      <c r="C791" s="3" t="s">
        <v>527</v>
      </c>
      <c r="D791" s="4" t="s">
        <v>11</v>
      </c>
      <c r="E791" s="5"/>
      <c r="F791" s="6"/>
      <c r="G791" s="6">
        <v>49393</v>
      </c>
      <c r="H791" s="19">
        <v>2300604</v>
      </c>
      <c r="I791" s="20"/>
      <c r="J791" s="20"/>
      <c r="K791" s="21"/>
    </row>
    <row r="792" spans="1:11" x14ac:dyDescent="0.3">
      <c r="A792" s="17" t="s">
        <v>528</v>
      </c>
      <c r="B792" s="18"/>
      <c r="C792" s="3" t="s">
        <v>126</v>
      </c>
      <c r="D792" s="4" t="s">
        <v>11</v>
      </c>
      <c r="E792" s="5"/>
      <c r="F792" s="6">
        <v>101507</v>
      </c>
      <c r="G792" s="6"/>
      <c r="H792" s="19">
        <v>2251211</v>
      </c>
      <c r="I792" s="20"/>
      <c r="J792" s="20"/>
      <c r="K792" s="21"/>
    </row>
    <row r="793" spans="1:11" x14ac:dyDescent="0.3">
      <c r="A793" s="17" t="s">
        <v>528</v>
      </c>
      <c r="B793" s="18"/>
      <c r="C793" s="3" t="s">
        <v>448</v>
      </c>
      <c r="D793" s="4" t="s">
        <v>11</v>
      </c>
      <c r="E793" s="5"/>
      <c r="F793" s="6"/>
      <c r="G793" s="6">
        <v>44463</v>
      </c>
      <c r="H793" s="19">
        <v>2352718</v>
      </c>
      <c r="I793" s="20"/>
      <c r="J793" s="20"/>
      <c r="K793" s="21"/>
    </row>
    <row r="794" spans="1:11" x14ac:dyDescent="0.3">
      <c r="A794" s="17" t="s">
        <v>528</v>
      </c>
      <c r="B794" s="18"/>
      <c r="C794" s="3" t="s">
        <v>471</v>
      </c>
      <c r="D794" s="4" t="s">
        <v>11</v>
      </c>
      <c r="E794" s="5"/>
      <c r="F794" s="6"/>
      <c r="G794" s="6">
        <v>97375</v>
      </c>
      <c r="H794" s="19">
        <v>2308255</v>
      </c>
      <c r="I794" s="20"/>
      <c r="J794" s="20"/>
      <c r="K794" s="21"/>
    </row>
    <row r="795" spans="1:11" x14ac:dyDescent="0.3">
      <c r="A795" s="17" t="s">
        <v>528</v>
      </c>
      <c r="B795" s="18"/>
      <c r="C795" s="3" t="s">
        <v>529</v>
      </c>
      <c r="D795" s="4" t="s">
        <v>11</v>
      </c>
      <c r="E795" s="5"/>
      <c r="F795" s="6"/>
      <c r="G795" s="6">
        <v>341904</v>
      </c>
      <c r="H795" s="19">
        <v>2210880</v>
      </c>
      <c r="I795" s="20"/>
      <c r="J795" s="20"/>
      <c r="K795" s="21"/>
    </row>
    <row r="796" spans="1:11" x14ac:dyDescent="0.3">
      <c r="A796" s="17" t="s">
        <v>528</v>
      </c>
      <c r="B796" s="18"/>
      <c r="C796" s="3" t="s">
        <v>530</v>
      </c>
      <c r="D796" s="4" t="s">
        <v>11</v>
      </c>
      <c r="E796" s="5"/>
      <c r="F796" s="6"/>
      <c r="G796" s="6">
        <v>139711</v>
      </c>
      <c r="H796" s="19">
        <v>1868976</v>
      </c>
      <c r="I796" s="20"/>
      <c r="J796" s="20"/>
      <c r="K796" s="21"/>
    </row>
    <row r="797" spans="1:11" x14ac:dyDescent="0.3">
      <c r="A797" s="17" t="s">
        <v>528</v>
      </c>
      <c r="B797" s="18"/>
      <c r="C797" s="3" t="s">
        <v>531</v>
      </c>
      <c r="D797" s="4" t="s">
        <v>11</v>
      </c>
      <c r="E797" s="5"/>
      <c r="F797" s="6"/>
      <c r="G797" s="6">
        <v>243165</v>
      </c>
      <c r="H797" s="19">
        <v>1729265</v>
      </c>
      <c r="I797" s="20"/>
      <c r="J797" s="20"/>
      <c r="K797" s="21"/>
    </row>
    <row r="798" spans="1:11" x14ac:dyDescent="0.3">
      <c r="A798" s="17" t="s">
        <v>528</v>
      </c>
      <c r="B798" s="18"/>
      <c r="C798" s="3" t="s">
        <v>532</v>
      </c>
      <c r="D798" s="4" t="s">
        <v>11</v>
      </c>
      <c r="E798" s="5"/>
      <c r="F798" s="6"/>
      <c r="G798" s="6">
        <v>74548</v>
      </c>
      <c r="H798" s="19">
        <v>1486100</v>
      </c>
      <c r="I798" s="20"/>
      <c r="J798" s="20"/>
      <c r="K798" s="21"/>
    </row>
    <row r="799" spans="1:11" x14ac:dyDescent="0.3">
      <c r="A799" s="17" t="s">
        <v>533</v>
      </c>
      <c r="B799" s="18"/>
      <c r="C799" s="3" t="s">
        <v>59</v>
      </c>
      <c r="D799" s="4" t="s">
        <v>9</v>
      </c>
      <c r="E799" s="5"/>
      <c r="F799" s="6">
        <v>1496687</v>
      </c>
      <c r="G799" s="6"/>
      <c r="H799" s="19">
        <v>1411552</v>
      </c>
      <c r="I799" s="20"/>
      <c r="J799" s="20"/>
      <c r="K799" s="21"/>
    </row>
    <row r="800" spans="1:11" x14ac:dyDescent="0.3">
      <c r="A800" s="17" t="s">
        <v>533</v>
      </c>
      <c r="B800" s="18"/>
      <c r="C800" s="3" t="s">
        <v>68</v>
      </c>
      <c r="D800" s="4" t="s">
        <v>11</v>
      </c>
      <c r="E800" s="5"/>
      <c r="F800" s="6"/>
      <c r="G800" s="6">
        <v>1089082</v>
      </c>
      <c r="H800" s="19">
        <v>2908239</v>
      </c>
      <c r="I800" s="20"/>
      <c r="J800" s="20"/>
      <c r="K800" s="21"/>
    </row>
    <row r="801" spans="1:11" x14ac:dyDescent="0.3">
      <c r="A801" s="17" t="s">
        <v>533</v>
      </c>
      <c r="B801" s="18"/>
      <c r="C801" s="3" t="s">
        <v>17</v>
      </c>
      <c r="D801" s="4" t="s">
        <v>18</v>
      </c>
      <c r="E801" s="5"/>
      <c r="F801" s="6"/>
      <c r="G801" s="6">
        <v>55966</v>
      </c>
      <c r="H801" s="19">
        <v>1819157</v>
      </c>
      <c r="I801" s="20"/>
      <c r="J801" s="20"/>
      <c r="K801" s="21"/>
    </row>
    <row r="802" spans="1:11" x14ac:dyDescent="0.3">
      <c r="A802" s="17" t="s">
        <v>533</v>
      </c>
      <c r="B802" s="18"/>
      <c r="C802" s="3" t="s">
        <v>19</v>
      </c>
      <c r="D802" s="4" t="s">
        <v>18</v>
      </c>
      <c r="E802" s="5"/>
      <c r="F802" s="6">
        <v>6618604</v>
      </c>
      <c r="G802" s="6"/>
      <c r="H802" s="19">
        <v>1763191</v>
      </c>
      <c r="I802" s="20"/>
      <c r="J802" s="20"/>
      <c r="K802" s="21"/>
    </row>
    <row r="803" spans="1:11" x14ac:dyDescent="0.3">
      <c r="A803" s="17" t="s">
        <v>533</v>
      </c>
      <c r="B803" s="18"/>
      <c r="C803" s="3" t="s">
        <v>52</v>
      </c>
      <c r="D803" s="4" t="s">
        <v>11</v>
      </c>
      <c r="E803" s="5"/>
      <c r="F803" s="6">
        <v>1465128</v>
      </c>
      <c r="G803" s="6"/>
      <c r="H803" s="19">
        <v>8381795</v>
      </c>
      <c r="I803" s="20"/>
      <c r="J803" s="20"/>
      <c r="K803" s="21"/>
    </row>
    <row r="804" spans="1:11" x14ac:dyDescent="0.3">
      <c r="A804" s="17" t="s">
        <v>533</v>
      </c>
      <c r="B804" s="18"/>
      <c r="C804" s="3" t="s">
        <v>297</v>
      </c>
      <c r="D804" s="4" t="s">
        <v>18</v>
      </c>
      <c r="E804" s="5"/>
      <c r="F804" s="6"/>
      <c r="G804" s="6">
        <v>83949</v>
      </c>
      <c r="H804" s="19">
        <v>9846923</v>
      </c>
      <c r="I804" s="20"/>
      <c r="J804" s="20"/>
      <c r="K804" s="21"/>
    </row>
    <row r="805" spans="1:11" x14ac:dyDescent="0.3">
      <c r="A805" s="17" t="s">
        <v>533</v>
      </c>
      <c r="B805" s="18"/>
      <c r="C805" s="3" t="s">
        <v>34</v>
      </c>
      <c r="D805" s="4" t="s">
        <v>18</v>
      </c>
      <c r="E805" s="5"/>
      <c r="F805" s="6"/>
      <c r="G805" s="6">
        <v>87228</v>
      </c>
      <c r="H805" s="19">
        <v>9762974</v>
      </c>
      <c r="I805" s="20"/>
      <c r="J805" s="20"/>
      <c r="K805" s="21"/>
    </row>
    <row r="806" spans="1:11" x14ac:dyDescent="0.3">
      <c r="A806" s="17" t="s">
        <v>533</v>
      </c>
      <c r="B806" s="18"/>
      <c r="C806" s="3" t="s">
        <v>76</v>
      </c>
      <c r="D806" s="4" t="s">
        <v>18</v>
      </c>
      <c r="E806" s="5"/>
      <c r="F806" s="6"/>
      <c r="G806" s="6">
        <v>183491</v>
      </c>
      <c r="H806" s="19">
        <v>9675746</v>
      </c>
      <c r="I806" s="20"/>
      <c r="J806" s="20"/>
      <c r="K806" s="21"/>
    </row>
    <row r="807" spans="1:11" x14ac:dyDescent="0.3">
      <c r="A807" s="17" t="s">
        <v>534</v>
      </c>
      <c r="B807" s="18"/>
      <c r="C807" s="3" t="s">
        <v>48</v>
      </c>
      <c r="D807" s="4" t="s">
        <v>9</v>
      </c>
      <c r="E807" s="5"/>
      <c r="F807" s="6">
        <v>2398991</v>
      </c>
      <c r="G807" s="6"/>
      <c r="H807" s="19">
        <v>9492255</v>
      </c>
      <c r="I807" s="20"/>
      <c r="J807" s="20"/>
      <c r="K807" s="21"/>
    </row>
    <row r="808" spans="1:11" x14ac:dyDescent="0.3">
      <c r="A808" s="17" t="s">
        <v>534</v>
      </c>
      <c r="B808" s="18"/>
      <c r="C808" s="3" t="s">
        <v>49</v>
      </c>
      <c r="D808" s="4" t="s">
        <v>18</v>
      </c>
      <c r="E808" s="5"/>
      <c r="F808" s="6"/>
      <c r="G808" s="6">
        <v>12027740</v>
      </c>
      <c r="H808" s="19">
        <v>11891246</v>
      </c>
      <c r="I808" s="20"/>
      <c r="J808" s="20"/>
      <c r="K808" s="21"/>
    </row>
    <row r="809" spans="1:11" x14ac:dyDescent="0.3">
      <c r="A809" s="17" t="s">
        <v>534</v>
      </c>
      <c r="B809" s="18"/>
      <c r="C809" s="3" t="s">
        <v>535</v>
      </c>
      <c r="D809" s="4" t="s">
        <v>11</v>
      </c>
      <c r="E809" s="5"/>
      <c r="F809" s="6"/>
      <c r="G809" s="6">
        <v>27504</v>
      </c>
      <c r="H809" s="19">
        <v>-136494</v>
      </c>
      <c r="I809" s="20"/>
      <c r="J809" s="20"/>
      <c r="K809" s="21"/>
    </row>
    <row r="810" spans="1:11" x14ac:dyDescent="0.3">
      <c r="A810" s="17" t="s">
        <v>534</v>
      </c>
      <c r="B810" s="18"/>
      <c r="C810" s="3" t="s">
        <v>536</v>
      </c>
      <c r="D810" s="4" t="s">
        <v>11</v>
      </c>
      <c r="E810" s="5"/>
      <c r="F810" s="6"/>
      <c r="G810" s="6">
        <v>69980</v>
      </c>
      <c r="H810" s="19">
        <v>-163998</v>
      </c>
      <c r="I810" s="20"/>
      <c r="J810" s="20"/>
      <c r="K810" s="21"/>
    </row>
    <row r="811" spans="1:11" x14ac:dyDescent="0.3">
      <c r="A811" s="17" t="s">
        <v>534</v>
      </c>
      <c r="B811" s="18"/>
      <c r="C811" s="3" t="s">
        <v>17</v>
      </c>
      <c r="D811" s="4" t="s">
        <v>18</v>
      </c>
      <c r="E811" s="5"/>
      <c r="F811" s="6"/>
      <c r="G811" s="6">
        <v>27153</v>
      </c>
      <c r="H811" s="19">
        <v>-233978</v>
      </c>
      <c r="I811" s="20"/>
      <c r="J811" s="20"/>
      <c r="K811" s="21"/>
    </row>
    <row r="812" spans="1:11" x14ac:dyDescent="0.3">
      <c r="A812" s="17" t="s">
        <v>534</v>
      </c>
      <c r="B812" s="18"/>
      <c r="C812" s="3" t="s">
        <v>253</v>
      </c>
      <c r="D812" s="4" t="s">
        <v>11</v>
      </c>
      <c r="E812" s="5"/>
      <c r="F812" s="6"/>
      <c r="G812" s="6">
        <v>80649</v>
      </c>
      <c r="H812" s="19">
        <v>-261131</v>
      </c>
      <c r="I812" s="20"/>
      <c r="J812" s="20"/>
      <c r="K812" s="21"/>
    </row>
    <row r="813" spans="1:11" x14ac:dyDescent="0.3">
      <c r="A813" s="17" t="s">
        <v>534</v>
      </c>
      <c r="B813" s="18"/>
      <c r="C813" s="3" t="s">
        <v>19</v>
      </c>
      <c r="D813" s="4" t="s">
        <v>18</v>
      </c>
      <c r="E813" s="5"/>
      <c r="F813" s="6">
        <v>2268010</v>
      </c>
      <c r="G813" s="6"/>
      <c r="H813" s="19">
        <v>-341780</v>
      </c>
      <c r="I813" s="20"/>
      <c r="J813" s="20"/>
      <c r="K813" s="21"/>
    </row>
    <row r="814" spans="1:11" x14ac:dyDescent="0.3">
      <c r="A814" s="17" t="s">
        <v>534</v>
      </c>
      <c r="B814" s="18"/>
      <c r="C814" s="3" t="s">
        <v>12</v>
      </c>
      <c r="D814" s="4" t="s">
        <v>11</v>
      </c>
      <c r="E814" s="5"/>
      <c r="F814" s="6"/>
      <c r="G814" s="6">
        <v>1846880</v>
      </c>
      <c r="H814" s="19">
        <v>1926230</v>
      </c>
      <c r="I814" s="20"/>
      <c r="J814" s="20"/>
      <c r="K814" s="21"/>
    </row>
    <row r="815" spans="1:11" x14ac:dyDescent="0.3">
      <c r="A815" s="17" t="s">
        <v>534</v>
      </c>
      <c r="B815" s="18"/>
      <c r="C815" s="3" t="s">
        <v>537</v>
      </c>
      <c r="D815" s="4" t="s">
        <v>11</v>
      </c>
      <c r="E815" s="5"/>
      <c r="F815" s="6">
        <v>37980</v>
      </c>
      <c r="G815" s="6"/>
      <c r="H815" s="19">
        <v>79350</v>
      </c>
      <c r="I815" s="20"/>
      <c r="J815" s="20"/>
      <c r="K815" s="21"/>
    </row>
    <row r="816" spans="1:11" x14ac:dyDescent="0.3">
      <c r="A816" s="17" t="s">
        <v>534</v>
      </c>
      <c r="B816" s="18"/>
      <c r="C816" s="3" t="s">
        <v>538</v>
      </c>
      <c r="D816" s="4" t="s">
        <v>11</v>
      </c>
      <c r="E816" s="5"/>
      <c r="F816" s="6">
        <v>33990</v>
      </c>
      <c r="G816" s="6"/>
      <c r="H816" s="19">
        <v>117330</v>
      </c>
      <c r="I816" s="20"/>
      <c r="J816" s="20"/>
      <c r="K816" s="21"/>
    </row>
    <row r="817" spans="1:11" x14ac:dyDescent="0.3">
      <c r="A817" s="17" t="s">
        <v>534</v>
      </c>
      <c r="B817" s="18"/>
      <c r="C817" s="3" t="s">
        <v>120</v>
      </c>
      <c r="D817" s="4" t="s">
        <v>11</v>
      </c>
      <c r="E817" s="5"/>
      <c r="F817" s="6"/>
      <c r="G817" s="6">
        <v>151320</v>
      </c>
      <c r="H817" s="19">
        <v>151320</v>
      </c>
      <c r="I817" s="20"/>
      <c r="J817" s="20"/>
      <c r="K817" s="21"/>
    </row>
    <row r="818" spans="1:11" x14ac:dyDescent="0.3">
      <c r="A818" s="17" t="s">
        <v>539</v>
      </c>
      <c r="B818" s="18"/>
      <c r="C818" s="3" t="s">
        <v>48</v>
      </c>
      <c r="D818" s="4" t="s">
        <v>9</v>
      </c>
      <c r="E818" s="5"/>
      <c r="F818" s="6">
        <v>964642</v>
      </c>
      <c r="G818" s="6"/>
      <c r="H818" s="19">
        <v>0</v>
      </c>
      <c r="I818" s="20"/>
      <c r="J818" s="20"/>
      <c r="K818" s="21"/>
    </row>
    <row r="819" spans="1:11" x14ac:dyDescent="0.3">
      <c r="A819" s="17" t="s">
        <v>539</v>
      </c>
      <c r="B819" s="18"/>
      <c r="C819" s="3" t="s">
        <v>540</v>
      </c>
      <c r="D819" s="4" t="s">
        <v>11</v>
      </c>
      <c r="E819" s="5"/>
      <c r="F819" s="6"/>
      <c r="G819" s="6">
        <v>37116</v>
      </c>
      <c r="H819" s="19">
        <v>964642</v>
      </c>
      <c r="I819" s="20"/>
      <c r="J819" s="20"/>
      <c r="K819" s="21"/>
    </row>
    <row r="820" spans="1:11" x14ac:dyDescent="0.3">
      <c r="A820" s="17" t="s">
        <v>539</v>
      </c>
      <c r="B820" s="18"/>
      <c r="C820" s="3" t="s">
        <v>541</v>
      </c>
      <c r="D820" s="4" t="s">
        <v>11</v>
      </c>
      <c r="E820" s="5"/>
      <c r="F820" s="6"/>
      <c r="G820" s="6">
        <v>52249</v>
      </c>
      <c r="H820" s="19">
        <v>927526</v>
      </c>
      <c r="I820" s="20"/>
      <c r="J820" s="20"/>
      <c r="K820" s="21"/>
    </row>
    <row r="821" spans="1:11" x14ac:dyDescent="0.3">
      <c r="A821" s="17" t="s">
        <v>539</v>
      </c>
      <c r="B821" s="18"/>
      <c r="C821" s="3" t="s">
        <v>542</v>
      </c>
      <c r="D821" s="4" t="s">
        <v>11</v>
      </c>
      <c r="E821" s="5"/>
      <c r="F821" s="6"/>
      <c r="G821" s="6">
        <v>39151</v>
      </c>
      <c r="H821" s="19">
        <v>875277</v>
      </c>
      <c r="I821" s="20"/>
      <c r="J821" s="20"/>
      <c r="K821" s="21"/>
    </row>
    <row r="822" spans="1:11" x14ac:dyDescent="0.3">
      <c r="A822" s="17" t="s">
        <v>539</v>
      </c>
      <c r="B822" s="18"/>
      <c r="C822" s="3" t="s">
        <v>17</v>
      </c>
      <c r="D822" s="4" t="s">
        <v>18</v>
      </c>
      <c r="E822" s="5"/>
      <c r="F822" s="6"/>
      <c r="G822" s="6">
        <v>167195</v>
      </c>
      <c r="H822" s="19">
        <v>836126</v>
      </c>
      <c r="I822" s="20"/>
      <c r="J822" s="20"/>
      <c r="K822" s="21"/>
    </row>
    <row r="823" spans="1:11" x14ac:dyDescent="0.3">
      <c r="A823" s="17" t="s">
        <v>539</v>
      </c>
      <c r="B823" s="18"/>
      <c r="C823" s="3" t="s">
        <v>543</v>
      </c>
      <c r="D823" s="4" t="s">
        <v>18</v>
      </c>
      <c r="E823" s="5"/>
      <c r="F823" s="6"/>
      <c r="G823" s="6">
        <v>50774</v>
      </c>
      <c r="H823" s="19">
        <v>668931</v>
      </c>
      <c r="I823" s="20"/>
      <c r="J823" s="20"/>
      <c r="K823" s="21"/>
    </row>
    <row r="824" spans="1:11" x14ac:dyDescent="0.3">
      <c r="A824" s="17" t="s">
        <v>539</v>
      </c>
      <c r="B824" s="18"/>
      <c r="C824" s="3" t="s">
        <v>544</v>
      </c>
      <c r="D824" s="4" t="s">
        <v>11</v>
      </c>
      <c r="E824" s="5"/>
      <c r="F824" s="6"/>
      <c r="G824" s="6">
        <v>618157</v>
      </c>
      <c r="H824" s="19">
        <v>618157</v>
      </c>
      <c r="I824" s="20"/>
      <c r="J824" s="20"/>
      <c r="K824" s="21"/>
    </row>
    <row r="825" spans="1:11" x14ac:dyDescent="0.3">
      <c r="A825" s="17" t="s">
        <v>545</v>
      </c>
      <c r="B825" s="18"/>
      <c r="C825" s="3" t="s">
        <v>48</v>
      </c>
      <c r="D825" s="4" t="s">
        <v>9</v>
      </c>
      <c r="E825" s="5"/>
      <c r="F825" s="6">
        <v>644797</v>
      </c>
      <c r="G825" s="6"/>
      <c r="H825" s="19">
        <v>0</v>
      </c>
      <c r="I825" s="20"/>
      <c r="J825" s="20"/>
      <c r="K825" s="21"/>
    </row>
    <row r="826" spans="1:11" x14ac:dyDescent="0.3">
      <c r="A826" s="17" t="s">
        <v>545</v>
      </c>
      <c r="B826" s="18"/>
      <c r="C826" s="3" t="s">
        <v>13</v>
      </c>
      <c r="D826" s="4" t="s">
        <v>11</v>
      </c>
      <c r="E826" s="5"/>
      <c r="F826" s="6"/>
      <c r="G826" s="6">
        <v>66071</v>
      </c>
      <c r="H826" s="19">
        <v>644797</v>
      </c>
      <c r="I826" s="20"/>
      <c r="J826" s="20"/>
      <c r="K826" s="21"/>
    </row>
    <row r="827" spans="1:11" x14ac:dyDescent="0.3">
      <c r="A827" s="17" t="s">
        <v>545</v>
      </c>
      <c r="B827" s="18"/>
      <c r="C827" s="3" t="s">
        <v>546</v>
      </c>
      <c r="D827" s="4" t="s">
        <v>11</v>
      </c>
      <c r="E827" s="5"/>
      <c r="F827" s="6"/>
      <c r="G827" s="6">
        <v>63864</v>
      </c>
      <c r="H827" s="19">
        <v>578726</v>
      </c>
      <c r="I827" s="20"/>
      <c r="J827" s="20"/>
      <c r="K827" s="21"/>
    </row>
    <row r="828" spans="1:11" x14ac:dyDescent="0.3">
      <c r="A828" s="17" t="s">
        <v>545</v>
      </c>
      <c r="B828" s="18"/>
      <c r="C828" s="3" t="s">
        <v>19</v>
      </c>
      <c r="D828" s="4" t="s">
        <v>18</v>
      </c>
      <c r="E828" s="5"/>
      <c r="F828" s="6">
        <v>102340</v>
      </c>
      <c r="G828" s="6"/>
      <c r="H828" s="19">
        <v>514862</v>
      </c>
      <c r="I828" s="20"/>
      <c r="J828" s="20"/>
      <c r="K828" s="21"/>
    </row>
    <row r="829" spans="1:11" x14ac:dyDescent="0.3">
      <c r="A829" s="17" t="s">
        <v>545</v>
      </c>
      <c r="B829" s="18"/>
      <c r="C829" s="3" t="s">
        <v>17</v>
      </c>
      <c r="D829" s="4" t="s">
        <v>18</v>
      </c>
      <c r="E829" s="5"/>
      <c r="F829" s="6"/>
      <c r="G829" s="6">
        <v>46282</v>
      </c>
      <c r="H829" s="19">
        <v>617202</v>
      </c>
      <c r="I829" s="20"/>
      <c r="J829" s="20"/>
      <c r="K829" s="21"/>
    </row>
    <row r="830" spans="1:11" x14ac:dyDescent="0.3">
      <c r="A830" s="17" t="s">
        <v>545</v>
      </c>
      <c r="B830" s="18"/>
      <c r="C830" s="3" t="s">
        <v>435</v>
      </c>
      <c r="D830" s="4" t="s">
        <v>11</v>
      </c>
      <c r="E830" s="5"/>
      <c r="F830" s="6"/>
      <c r="G830" s="6">
        <v>139711</v>
      </c>
      <c r="H830" s="19">
        <v>570920</v>
      </c>
      <c r="I830" s="20"/>
      <c r="J830" s="20"/>
      <c r="K830" s="21"/>
    </row>
    <row r="831" spans="1:11" x14ac:dyDescent="0.3">
      <c r="A831" s="17" t="s">
        <v>545</v>
      </c>
      <c r="B831" s="18"/>
      <c r="C831" s="3" t="s">
        <v>547</v>
      </c>
      <c r="D831" s="4" t="s">
        <v>18</v>
      </c>
      <c r="E831" s="5"/>
      <c r="F831" s="6"/>
      <c r="G831" s="6">
        <v>48615</v>
      </c>
      <c r="H831" s="19">
        <v>431209</v>
      </c>
      <c r="I831" s="20"/>
      <c r="J831" s="20"/>
      <c r="K831" s="21"/>
    </row>
    <row r="832" spans="1:11" x14ac:dyDescent="0.3">
      <c r="A832" s="17" t="s">
        <v>545</v>
      </c>
      <c r="B832" s="18"/>
      <c r="C832" s="3" t="s">
        <v>66</v>
      </c>
      <c r="D832" s="4" t="s">
        <v>11</v>
      </c>
      <c r="E832" s="5"/>
      <c r="F832" s="6"/>
      <c r="G832" s="6">
        <v>129520</v>
      </c>
      <c r="H832" s="19">
        <v>382594</v>
      </c>
      <c r="I832" s="20"/>
      <c r="J832" s="20"/>
      <c r="K832" s="21"/>
    </row>
    <row r="833" spans="1:11" x14ac:dyDescent="0.3">
      <c r="A833" s="17" t="s">
        <v>545</v>
      </c>
      <c r="B833" s="18"/>
      <c r="C833" s="3" t="s">
        <v>280</v>
      </c>
      <c r="D833" s="4" t="s">
        <v>11</v>
      </c>
      <c r="E833" s="5"/>
      <c r="F833" s="6"/>
      <c r="G833" s="6">
        <v>49210</v>
      </c>
      <c r="H833" s="19">
        <v>253074</v>
      </c>
      <c r="I833" s="20"/>
      <c r="J833" s="20"/>
      <c r="K833" s="21"/>
    </row>
    <row r="834" spans="1:11" x14ac:dyDescent="0.3">
      <c r="A834" s="17" t="s">
        <v>545</v>
      </c>
      <c r="B834" s="18"/>
      <c r="C834" s="3" t="s">
        <v>548</v>
      </c>
      <c r="D834" s="4" t="s">
        <v>11</v>
      </c>
      <c r="E834" s="5"/>
      <c r="F834" s="6"/>
      <c r="G834" s="6">
        <v>106123</v>
      </c>
      <c r="H834" s="19">
        <v>203864</v>
      </c>
      <c r="I834" s="20"/>
      <c r="J834" s="20"/>
      <c r="K834" s="21"/>
    </row>
    <row r="835" spans="1:11" x14ac:dyDescent="0.3">
      <c r="A835" s="17" t="s">
        <v>545</v>
      </c>
      <c r="B835" s="18"/>
      <c r="C835" s="3" t="s">
        <v>549</v>
      </c>
      <c r="D835" s="4" t="s">
        <v>11</v>
      </c>
      <c r="E835" s="5"/>
      <c r="F835" s="6"/>
      <c r="G835" s="6">
        <v>97741</v>
      </c>
      <c r="H835" s="19">
        <v>97741</v>
      </c>
      <c r="I835" s="20"/>
      <c r="J835" s="20"/>
      <c r="K835" s="21"/>
    </row>
    <row r="836" spans="1:11" x14ac:dyDescent="0.3">
      <c r="A836" s="17" t="s">
        <v>550</v>
      </c>
      <c r="B836" s="18"/>
      <c r="C836" s="3" t="s">
        <v>8</v>
      </c>
      <c r="D836" s="4" t="s">
        <v>9</v>
      </c>
      <c r="E836" s="5"/>
      <c r="F836" s="6"/>
      <c r="G836" s="6">
        <v>1633986</v>
      </c>
      <c r="H836" s="19">
        <v>0</v>
      </c>
      <c r="I836" s="20"/>
      <c r="J836" s="20"/>
      <c r="K836" s="21"/>
    </row>
    <row r="837" spans="1:11" x14ac:dyDescent="0.3">
      <c r="A837" s="17" t="s">
        <v>550</v>
      </c>
      <c r="B837" s="18"/>
      <c r="C837" s="3" t="s">
        <v>75</v>
      </c>
      <c r="D837" s="4" t="s">
        <v>18</v>
      </c>
      <c r="E837" s="5"/>
      <c r="F837" s="6">
        <v>3682180</v>
      </c>
      <c r="G837" s="6"/>
      <c r="H837" s="19">
        <v>-1633986</v>
      </c>
      <c r="I837" s="20"/>
      <c r="J837" s="20"/>
      <c r="K837" s="21"/>
    </row>
    <row r="838" spans="1:11" x14ac:dyDescent="0.3">
      <c r="A838" s="17" t="s">
        <v>550</v>
      </c>
      <c r="B838" s="18"/>
      <c r="C838" s="3" t="s">
        <v>551</v>
      </c>
      <c r="D838" s="4" t="s">
        <v>11</v>
      </c>
      <c r="E838" s="5"/>
      <c r="F838" s="6"/>
      <c r="G838" s="6">
        <v>1500000</v>
      </c>
      <c r="H838" s="19">
        <v>2048194</v>
      </c>
      <c r="I838" s="20"/>
      <c r="J838" s="20"/>
      <c r="K838" s="21"/>
    </row>
    <row r="839" spans="1:11" x14ac:dyDescent="0.3">
      <c r="A839" s="17" t="s">
        <v>550</v>
      </c>
      <c r="B839" s="18"/>
      <c r="C839" s="3" t="s">
        <v>51</v>
      </c>
      <c r="D839" s="4" t="s">
        <v>11</v>
      </c>
      <c r="E839" s="5"/>
      <c r="F839" s="6"/>
      <c r="G839" s="6">
        <v>300000</v>
      </c>
      <c r="H839" s="19">
        <v>548194</v>
      </c>
      <c r="I839" s="20"/>
      <c r="J839" s="20"/>
      <c r="K839" s="21"/>
    </row>
    <row r="840" spans="1:11" x14ac:dyDescent="0.3">
      <c r="A840" s="17" t="s">
        <v>550</v>
      </c>
      <c r="B840" s="18"/>
      <c r="C840" s="3" t="s">
        <v>434</v>
      </c>
      <c r="D840" s="4" t="s">
        <v>11</v>
      </c>
      <c r="E840" s="5"/>
      <c r="F840" s="6"/>
      <c r="G840" s="6">
        <v>43969</v>
      </c>
      <c r="H840" s="19">
        <v>248194</v>
      </c>
      <c r="I840" s="20"/>
      <c r="J840" s="20"/>
      <c r="K840" s="21"/>
    </row>
    <row r="841" spans="1:11" x14ac:dyDescent="0.3">
      <c r="A841" s="17" t="s">
        <v>550</v>
      </c>
      <c r="B841" s="18"/>
      <c r="C841" s="3" t="s">
        <v>17</v>
      </c>
      <c r="D841" s="4" t="s">
        <v>18</v>
      </c>
      <c r="E841" s="5"/>
      <c r="F841" s="6"/>
      <c r="G841" s="6">
        <v>105735</v>
      </c>
      <c r="H841" s="19">
        <v>204225</v>
      </c>
      <c r="I841" s="20"/>
      <c r="J841" s="20"/>
      <c r="K841" s="21"/>
    </row>
    <row r="842" spans="1:11" x14ac:dyDescent="0.3">
      <c r="A842" s="17" t="s">
        <v>550</v>
      </c>
      <c r="B842" s="18"/>
      <c r="C842" s="3" t="s">
        <v>552</v>
      </c>
      <c r="D842" s="4" t="s">
        <v>11</v>
      </c>
      <c r="E842" s="5"/>
      <c r="F842" s="6"/>
      <c r="G842" s="6">
        <v>23520</v>
      </c>
      <c r="H842" s="19">
        <v>98490</v>
      </c>
      <c r="I842" s="20"/>
      <c r="J842" s="20"/>
      <c r="K842" s="21"/>
    </row>
    <row r="843" spans="1:11" x14ac:dyDescent="0.3">
      <c r="A843" s="17" t="s">
        <v>550</v>
      </c>
      <c r="B843" s="18"/>
      <c r="C843" s="3" t="s">
        <v>328</v>
      </c>
      <c r="D843" s="4" t="s">
        <v>11</v>
      </c>
      <c r="E843" s="5"/>
      <c r="F843" s="6"/>
      <c r="G843" s="6">
        <v>74970</v>
      </c>
      <c r="H843" s="19">
        <v>74970</v>
      </c>
      <c r="I843" s="20"/>
      <c r="J843" s="20"/>
      <c r="K843" s="21"/>
    </row>
    <row r="844" spans="1:11" x14ac:dyDescent="0.3">
      <c r="A844" s="17" t="s">
        <v>553</v>
      </c>
      <c r="B844" s="18"/>
      <c r="C844" s="3" t="s">
        <v>48</v>
      </c>
      <c r="D844" s="4" t="s">
        <v>9</v>
      </c>
      <c r="E844" s="5"/>
      <c r="F844" s="6">
        <v>1749718</v>
      </c>
      <c r="G844" s="6"/>
      <c r="H844" s="19">
        <v>0</v>
      </c>
      <c r="I844" s="20"/>
      <c r="J844" s="20"/>
      <c r="K844" s="21"/>
    </row>
    <row r="845" spans="1:11" x14ac:dyDescent="0.3">
      <c r="A845" s="17" t="s">
        <v>553</v>
      </c>
      <c r="B845" s="18"/>
      <c r="C845" s="3" t="s">
        <v>554</v>
      </c>
      <c r="D845" s="4" t="s">
        <v>11</v>
      </c>
      <c r="E845" s="5"/>
      <c r="F845" s="6"/>
      <c r="G845" s="6">
        <v>52792</v>
      </c>
      <c r="H845" s="19">
        <v>1749718</v>
      </c>
      <c r="I845" s="20"/>
      <c r="J845" s="20"/>
      <c r="K845" s="21"/>
    </row>
    <row r="846" spans="1:11" x14ac:dyDescent="0.3">
      <c r="A846" s="17" t="s">
        <v>553</v>
      </c>
      <c r="B846" s="18"/>
      <c r="C846" s="3" t="s">
        <v>87</v>
      </c>
      <c r="D846" s="4" t="s">
        <v>11</v>
      </c>
      <c r="E846" s="5"/>
      <c r="F846" s="6"/>
      <c r="G846" s="6">
        <v>105003</v>
      </c>
      <c r="H846" s="19">
        <v>1696926</v>
      </c>
      <c r="I846" s="20"/>
      <c r="J846" s="20"/>
      <c r="K846" s="21"/>
    </row>
    <row r="847" spans="1:11" x14ac:dyDescent="0.3">
      <c r="A847" s="17" t="s">
        <v>553</v>
      </c>
      <c r="B847" s="18"/>
      <c r="C847" s="3" t="s">
        <v>126</v>
      </c>
      <c r="D847" s="4" t="s">
        <v>11</v>
      </c>
      <c r="E847" s="5"/>
      <c r="F847" s="6">
        <v>30464</v>
      </c>
      <c r="G847" s="6"/>
      <c r="H847" s="19">
        <v>1591923</v>
      </c>
      <c r="I847" s="20"/>
      <c r="J847" s="20"/>
      <c r="K847" s="21"/>
    </row>
    <row r="848" spans="1:11" x14ac:dyDescent="0.3">
      <c r="A848" s="17" t="s">
        <v>553</v>
      </c>
      <c r="B848" s="18"/>
      <c r="C848" s="3" t="s">
        <v>555</v>
      </c>
      <c r="D848" s="4" t="s">
        <v>11</v>
      </c>
      <c r="E848" s="5"/>
      <c r="F848" s="6"/>
      <c r="G848" s="6">
        <v>80350</v>
      </c>
      <c r="H848" s="19">
        <v>1622387</v>
      </c>
      <c r="I848" s="20"/>
      <c r="J848" s="20"/>
      <c r="K848" s="21"/>
    </row>
    <row r="849" spans="1:11" x14ac:dyDescent="0.3">
      <c r="A849" s="17" t="s">
        <v>553</v>
      </c>
      <c r="B849" s="18"/>
      <c r="C849" s="3" t="s">
        <v>17</v>
      </c>
      <c r="D849" s="4" t="s">
        <v>18</v>
      </c>
      <c r="E849" s="5"/>
      <c r="F849" s="6"/>
      <c r="G849" s="6">
        <v>222022</v>
      </c>
      <c r="H849" s="19">
        <v>1542037</v>
      </c>
      <c r="I849" s="20"/>
      <c r="J849" s="20"/>
      <c r="K849" s="21"/>
    </row>
    <row r="850" spans="1:11" x14ac:dyDescent="0.3">
      <c r="A850" s="17" t="s">
        <v>553</v>
      </c>
      <c r="B850" s="18"/>
      <c r="C850" s="3" t="s">
        <v>296</v>
      </c>
      <c r="D850" s="4" t="s">
        <v>18</v>
      </c>
      <c r="E850" s="5"/>
      <c r="F850" s="6"/>
      <c r="G850" s="6">
        <v>481570</v>
      </c>
      <c r="H850" s="19">
        <v>1320015</v>
      </c>
      <c r="I850" s="20"/>
      <c r="J850" s="20"/>
      <c r="K850" s="21"/>
    </row>
    <row r="851" spans="1:11" x14ac:dyDescent="0.3">
      <c r="A851" s="17" t="s">
        <v>553</v>
      </c>
      <c r="B851" s="18"/>
      <c r="C851" s="3" t="s">
        <v>556</v>
      </c>
      <c r="D851" s="4" t="s">
        <v>18</v>
      </c>
      <c r="E851" s="5"/>
      <c r="F851" s="6"/>
      <c r="G851" s="6">
        <v>58500</v>
      </c>
      <c r="H851" s="19">
        <v>838445</v>
      </c>
      <c r="I851" s="20"/>
      <c r="J851" s="20"/>
      <c r="K851" s="21"/>
    </row>
    <row r="852" spans="1:11" x14ac:dyDescent="0.3">
      <c r="A852" s="17" t="s">
        <v>553</v>
      </c>
      <c r="B852" s="18"/>
      <c r="C852" s="3" t="s">
        <v>31</v>
      </c>
      <c r="D852" s="4" t="s">
        <v>18</v>
      </c>
      <c r="E852" s="5"/>
      <c r="F852" s="6"/>
      <c r="G852" s="6">
        <v>186434</v>
      </c>
      <c r="H852" s="19">
        <v>779945</v>
      </c>
      <c r="I852" s="20"/>
      <c r="J852" s="20"/>
      <c r="K852" s="21"/>
    </row>
    <row r="853" spans="1:11" x14ac:dyDescent="0.3">
      <c r="A853" s="17" t="s">
        <v>553</v>
      </c>
      <c r="B853" s="18"/>
      <c r="C853" s="3" t="s">
        <v>450</v>
      </c>
      <c r="D853" s="4" t="s">
        <v>18</v>
      </c>
      <c r="E853" s="5"/>
      <c r="F853" s="6"/>
      <c r="G853" s="6">
        <v>46980</v>
      </c>
      <c r="H853" s="19">
        <v>593511</v>
      </c>
      <c r="I853" s="20"/>
      <c r="J853" s="20"/>
      <c r="K853" s="21"/>
    </row>
    <row r="854" spans="1:11" x14ac:dyDescent="0.3">
      <c r="A854" s="17" t="s">
        <v>553</v>
      </c>
      <c r="B854" s="18"/>
      <c r="C854" s="3" t="s">
        <v>31</v>
      </c>
      <c r="D854" s="4" t="s">
        <v>18</v>
      </c>
      <c r="E854" s="5"/>
      <c r="F854" s="6"/>
      <c r="G854" s="6">
        <v>546531</v>
      </c>
      <c r="H854" s="19">
        <v>546531</v>
      </c>
      <c r="I854" s="20"/>
      <c r="J854" s="20"/>
      <c r="K854" s="21"/>
    </row>
    <row r="855" spans="1:11" x14ac:dyDescent="0.3">
      <c r="A855" s="17" t="s">
        <v>557</v>
      </c>
      <c r="B855" s="18"/>
      <c r="C855" s="3" t="s">
        <v>8</v>
      </c>
      <c r="D855" s="4" t="s">
        <v>9</v>
      </c>
      <c r="E855" s="5"/>
      <c r="F855" s="6"/>
      <c r="G855" s="6">
        <v>1623400</v>
      </c>
      <c r="H855" s="19">
        <v>0</v>
      </c>
      <c r="I855" s="20"/>
      <c r="J855" s="20"/>
      <c r="K855" s="21"/>
    </row>
    <row r="856" spans="1:11" x14ac:dyDescent="0.3">
      <c r="A856" s="17" t="s">
        <v>557</v>
      </c>
      <c r="B856" s="18"/>
      <c r="C856" s="3" t="s">
        <v>558</v>
      </c>
      <c r="D856" s="4" t="s">
        <v>11</v>
      </c>
      <c r="E856" s="5"/>
      <c r="F856" s="6"/>
      <c r="G856" s="6">
        <v>29938</v>
      </c>
      <c r="H856" s="19">
        <v>-1623400</v>
      </c>
      <c r="I856" s="20"/>
      <c r="J856" s="20"/>
      <c r="K856" s="21"/>
    </row>
    <row r="857" spans="1:11" x14ac:dyDescent="0.3">
      <c r="A857" s="17" t="s">
        <v>557</v>
      </c>
      <c r="B857" s="18"/>
      <c r="C857" s="3" t="s">
        <v>349</v>
      </c>
      <c r="D857" s="4" t="s">
        <v>11</v>
      </c>
      <c r="E857" s="5"/>
      <c r="F857" s="6">
        <v>94010</v>
      </c>
      <c r="G857" s="6"/>
      <c r="H857" s="19">
        <v>-1653338</v>
      </c>
      <c r="I857" s="20"/>
      <c r="J857" s="20"/>
      <c r="K857" s="21"/>
    </row>
    <row r="858" spans="1:11" x14ac:dyDescent="0.3">
      <c r="A858" s="17" t="s">
        <v>557</v>
      </c>
      <c r="B858" s="18"/>
      <c r="C858" s="3" t="s">
        <v>19</v>
      </c>
      <c r="D858" s="4" t="s">
        <v>18</v>
      </c>
      <c r="E858" s="5"/>
      <c r="F858" s="6">
        <v>4500722</v>
      </c>
      <c r="G858" s="6"/>
      <c r="H858" s="19">
        <v>-1559328</v>
      </c>
      <c r="I858" s="20"/>
      <c r="J858" s="20"/>
      <c r="K858" s="21"/>
    </row>
    <row r="859" spans="1:11" x14ac:dyDescent="0.3">
      <c r="A859" s="17" t="s">
        <v>557</v>
      </c>
      <c r="B859" s="18"/>
      <c r="C859" s="3" t="s">
        <v>551</v>
      </c>
      <c r="D859" s="4" t="s">
        <v>11</v>
      </c>
      <c r="E859" s="5"/>
      <c r="F859" s="6"/>
      <c r="G859" s="6">
        <v>2000000</v>
      </c>
      <c r="H859" s="19">
        <v>2941394</v>
      </c>
      <c r="I859" s="20"/>
      <c r="J859" s="20"/>
      <c r="K859" s="21"/>
    </row>
    <row r="860" spans="1:11" x14ac:dyDescent="0.3">
      <c r="A860" s="17" t="s">
        <v>557</v>
      </c>
      <c r="B860" s="18"/>
      <c r="C860" s="3" t="s">
        <v>50</v>
      </c>
      <c r="D860" s="4" t="s">
        <v>11</v>
      </c>
      <c r="E860" s="5"/>
      <c r="F860" s="6"/>
      <c r="G860" s="6">
        <v>250000</v>
      </c>
      <c r="H860" s="19">
        <v>941394</v>
      </c>
      <c r="I860" s="20"/>
      <c r="J860" s="20"/>
      <c r="K860" s="21"/>
    </row>
    <row r="861" spans="1:11" x14ac:dyDescent="0.3">
      <c r="A861" s="17" t="s">
        <v>557</v>
      </c>
      <c r="B861" s="18"/>
      <c r="C861" s="3" t="s">
        <v>17</v>
      </c>
      <c r="D861" s="4" t="s">
        <v>18</v>
      </c>
      <c r="E861" s="5"/>
      <c r="F861" s="6"/>
      <c r="G861" s="6">
        <v>117997</v>
      </c>
      <c r="H861" s="19">
        <v>691394</v>
      </c>
      <c r="I861" s="20"/>
      <c r="J861" s="20"/>
      <c r="K861" s="21"/>
    </row>
    <row r="862" spans="1:11" x14ac:dyDescent="0.3">
      <c r="A862" s="17" t="s">
        <v>557</v>
      </c>
      <c r="B862" s="18"/>
      <c r="C862" s="3" t="s">
        <v>362</v>
      </c>
      <c r="D862" s="4" t="s">
        <v>11</v>
      </c>
      <c r="E862" s="5"/>
      <c r="F862" s="6"/>
      <c r="G862" s="6">
        <v>39971</v>
      </c>
      <c r="H862" s="19">
        <v>573397</v>
      </c>
      <c r="I862" s="20"/>
      <c r="J862" s="20"/>
      <c r="K862" s="21"/>
    </row>
    <row r="863" spans="1:11" x14ac:dyDescent="0.3">
      <c r="A863" s="17" t="s">
        <v>557</v>
      </c>
      <c r="B863" s="18"/>
      <c r="C863" s="3" t="s">
        <v>46</v>
      </c>
      <c r="D863" s="4" t="s">
        <v>11</v>
      </c>
      <c r="E863" s="5"/>
      <c r="F863" s="6"/>
      <c r="G863" s="6">
        <v>154250</v>
      </c>
      <c r="H863" s="19">
        <v>533426</v>
      </c>
      <c r="I863" s="20"/>
      <c r="J863" s="20"/>
      <c r="K863" s="21"/>
    </row>
    <row r="864" spans="1:11" x14ac:dyDescent="0.3">
      <c r="A864" s="17" t="s">
        <v>557</v>
      </c>
      <c r="B864" s="18"/>
      <c r="C864" s="3" t="s">
        <v>559</v>
      </c>
      <c r="D864" s="4" t="s">
        <v>11</v>
      </c>
      <c r="E864" s="5"/>
      <c r="F864" s="6"/>
      <c r="G864" s="6">
        <v>18320</v>
      </c>
      <c r="H864" s="19">
        <v>379176</v>
      </c>
      <c r="I864" s="20"/>
      <c r="J864" s="20"/>
      <c r="K864" s="21"/>
    </row>
    <row r="865" spans="1:11" x14ac:dyDescent="0.3">
      <c r="A865" s="17" t="s">
        <v>557</v>
      </c>
      <c r="B865" s="18"/>
      <c r="C865" s="3" t="s">
        <v>560</v>
      </c>
      <c r="D865" s="4" t="s">
        <v>11</v>
      </c>
      <c r="E865" s="5"/>
      <c r="F865" s="6"/>
      <c r="G865" s="6">
        <v>311959</v>
      </c>
      <c r="H865" s="19">
        <v>360856</v>
      </c>
      <c r="I865" s="20"/>
      <c r="J865" s="20"/>
      <c r="K865" s="21"/>
    </row>
    <row r="866" spans="1:11" x14ac:dyDescent="0.3">
      <c r="A866" s="17" t="s">
        <v>557</v>
      </c>
      <c r="B866" s="18"/>
      <c r="C866" s="3" t="s">
        <v>213</v>
      </c>
      <c r="D866" s="4" t="s">
        <v>11</v>
      </c>
      <c r="E866" s="5"/>
      <c r="F866" s="6"/>
      <c r="G866" s="6">
        <v>48897</v>
      </c>
      <c r="H866" s="19">
        <v>48897</v>
      </c>
      <c r="I866" s="20"/>
      <c r="J866" s="20"/>
      <c r="K866" s="21"/>
    </row>
    <row r="867" spans="1:11" x14ac:dyDescent="0.3">
      <c r="A867" s="17" t="s">
        <v>561</v>
      </c>
      <c r="B867" s="18"/>
      <c r="C867" s="3" t="s">
        <v>48</v>
      </c>
      <c r="D867" s="4" t="s">
        <v>9</v>
      </c>
      <c r="E867" s="5"/>
      <c r="F867" s="6">
        <v>235585</v>
      </c>
      <c r="G867" s="6"/>
      <c r="H867" s="19">
        <v>0</v>
      </c>
      <c r="I867" s="20"/>
      <c r="J867" s="20"/>
      <c r="K867" s="21"/>
    </row>
    <row r="868" spans="1:11" x14ac:dyDescent="0.3">
      <c r="A868" s="17" t="s">
        <v>561</v>
      </c>
      <c r="B868" s="18"/>
      <c r="C868" s="3" t="s">
        <v>562</v>
      </c>
      <c r="D868" s="4" t="s">
        <v>11</v>
      </c>
      <c r="E868" s="5"/>
      <c r="F868" s="6"/>
      <c r="G868" s="6">
        <v>60507</v>
      </c>
      <c r="H868" s="19">
        <v>235585</v>
      </c>
      <c r="I868" s="20"/>
      <c r="J868" s="20"/>
      <c r="K868" s="21"/>
    </row>
    <row r="869" spans="1:11" x14ac:dyDescent="0.3">
      <c r="A869" s="17" t="s">
        <v>561</v>
      </c>
      <c r="B869" s="18"/>
      <c r="C869" s="3" t="s">
        <v>126</v>
      </c>
      <c r="D869" s="4" t="s">
        <v>11</v>
      </c>
      <c r="E869" s="5"/>
      <c r="F869" s="6">
        <v>46410</v>
      </c>
      <c r="G869" s="6"/>
      <c r="H869" s="19">
        <v>175078</v>
      </c>
      <c r="I869" s="20"/>
      <c r="J869" s="20"/>
      <c r="K869" s="21"/>
    </row>
    <row r="870" spans="1:11" x14ac:dyDescent="0.3">
      <c r="A870" s="17" t="s">
        <v>561</v>
      </c>
      <c r="B870" s="18"/>
      <c r="C870" s="3" t="s">
        <v>17</v>
      </c>
      <c r="D870" s="4" t="s">
        <v>18</v>
      </c>
      <c r="E870" s="5"/>
      <c r="F870" s="6"/>
      <c r="G870" s="6">
        <v>204420</v>
      </c>
      <c r="H870" s="19">
        <v>221488</v>
      </c>
      <c r="I870" s="20"/>
      <c r="J870" s="20"/>
      <c r="K870" s="21"/>
    </row>
    <row r="871" spans="1:11" x14ac:dyDescent="0.3">
      <c r="A871" s="17" t="s">
        <v>561</v>
      </c>
      <c r="B871" s="18"/>
      <c r="C871" s="3" t="s">
        <v>563</v>
      </c>
      <c r="D871" s="4" t="s">
        <v>11</v>
      </c>
      <c r="E871" s="5"/>
      <c r="F871" s="6"/>
      <c r="G871" s="6">
        <v>17068</v>
      </c>
      <c r="H871" s="19">
        <v>17068</v>
      </c>
      <c r="I871" s="20"/>
      <c r="J871" s="20"/>
      <c r="K871" s="21"/>
    </row>
    <row r="872" spans="1:11" x14ac:dyDescent="0.3">
      <c r="A872" s="17" t="s">
        <v>564</v>
      </c>
      <c r="B872" s="18"/>
      <c r="C872" s="3" t="s">
        <v>8</v>
      </c>
      <c r="D872" s="4" t="s">
        <v>9</v>
      </c>
      <c r="E872" s="5"/>
      <c r="F872" s="6"/>
      <c r="G872" s="6">
        <v>2401520</v>
      </c>
      <c r="H872" s="19">
        <v>0</v>
      </c>
      <c r="I872" s="20"/>
      <c r="J872" s="20"/>
      <c r="K872" s="21"/>
    </row>
    <row r="873" spans="1:11" x14ac:dyDescent="0.3">
      <c r="A873" s="17" t="s">
        <v>564</v>
      </c>
      <c r="B873" s="18"/>
      <c r="C873" s="3" t="s">
        <v>112</v>
      </c>
      <c r="D873" s="4" t="s">
        <v>18</v>
      </c>
      <c r="E873" s="5"/>
      <c r="F873" s="6">
        <v>4486173</v>
      </c>
      <c r="G873" s="6"/>
      <c r="H873" s="19">
        <v>-2401520</v>
      </c>
      <c r="I873" s="20"/>
      <c r="J873" s="20"/>
      <c r="K873" s="21"/>
    </row>
    <row r="874" spans="1:11" x14ac:dyDescent="0.3">
      <c r="A874" s="17" t="s">
        <v>564</v>
      </c>
      <c r="B874" s="18"/>
      <c r="C874" s="3" t="s">
        <v>490</v>
      </c>
      <c r="D874" s="4" t="s">
        <v>11</v>
      </c>
      <c r="E874" s="5"/>
      <c r="F874" s="6"/>
      <c r="G874" s="6">
        <v>95200</v>
      </c>
      <c r="H874" s="19">
        <v>2084653</v>
      </c>
      <c r="I874" s="20"/>
      <c r="J874" s="20"/>
      <c r="K874" s="21"/>
    </row>
    <row r="875" spans="1:11" x14ac:dyDescent="0.3">
      <c r="A875" s="17" t="s">
        <v>564</v>
      </c>
      <c r="B875" s="18"/>
      <c r="C875" s="3" t="s">
        <v>271</v>
      </c>
      <c r="D875" s="4" t="s">
        <v>11</v>
      </c>
      <c r="E875" s="5"/>
      <c r="F875" s="6"/>
      <c r="G875" s="6">
        <v>402677</v>
      </c>
      <c r="H875" s="19">
        <v>1989453</v>
      </c>
      <c r="I875" s="20"/>
      <c r="J875" s="20"/>
      <c r="K875" s="21"/>
    </row>
    <row r="876" spans="1:11" x14ac:dyDescent="0.3">
      <c r="A876" s="17" t="s">
        <v>564</v>
      </c>
      <c r="B876" s="18"/>
      <c r="C876" s="3" t="s">
        <v>17</v>
      </c>
      <c r="D876" s="4" t="s">
        <v>18</v>
      </c>
      <c r="E876" s="5"/>
      <c r="F876" s="6"/>
      <c r="G876" s="6">
        <v>76892</v>
      </c>
      <c r="H876" s="19">
        <v>1586776</v>
      </c>
      <c r="I876" s="20"/>
      <c r="J876" s="20"/>
      <c r="K876" s="21"/>
    </row>
    <row r="877" spans="1:11" x14ac:dyDescent="0.3">
      <c r="A877" s="17" t="s">
        <v>564</v>
      </c>
      <c r="B877" s="18"/>
      <c r="C877" s="3" t="s">
        <v>30</v>
      </c>
      <c r="D877" s="4" t="s">
        <v>11</v>
      </c>
      <c r="E877" s="5"/>
      <c r="F877" s="6"/>
      <c r="G877" s="6">
        <v>1509884</v>
      </c>
      <c r="H877" s="19">
        <v>1509884</v>
      </c>
      <c r="I877" s="20"/>
      <c r="J877" s="20"/>
      <c r="K877" s="21"/>
    </row>
    <row r="878" spans="1:11" x14ac:dyDescent="0.3">
      <c r="A878" s="17" t="s">
        <v>565</v>
      </c>
      <c r="B878" s="18"/>
      <c r="C878" s="3" t="s">
        <v>8</v>
      </c>
      <c r="D878" s="4" t="s">
        <v>9</v>
      </c>
      <c r="E878" s="5"/>
      <c r="F878" s="6"/>
      <c r="G878" s="6">
        <v>334827</v>
      </c>
      <c r="H878" s="19">
        <v>0</v>
      </c>
      <c r="I878" s="20"/>
      <c r="J878" s="20"/>
      <c r="K878" s="21"/>
    </row>
    <row r="879" spans="1:11" x14ac:dyDescent="0.3">
      <c r="A879" s="17" t="s">
        <v>565</v>
      </c>
      <c r="B879" s="18"/>
      <c r="C879" s="3" t="s">
        <v>24</v>
      </c>
      <c r="D879" s="4" t="s">
        <v>11</v>
      </c>
      <c r="E879" s="5"/>
      <c r="F879" s="6">
        <v>154700</v>
      </c>
      <c r="G879" s="6"/>
      <c r="H879" s="19">
        <v>-334827</v>
      </c>
      <c r="I879" s="20"/>
      <c r="J879" s="20"/>
      <c r="K879" s="21"/>
    </row>
    <row r="880" spans="1:11" x14ac:dyDescent="0.3">
      <c r="A880" s="17" t="s">
        <v>565</v>
      </c>
      <c r="B880" s="18"/>
      <c r="C880" s="3" t="s">
        <v>17</v>
      </c>
      <c r="D880" s="4" t="s">
        <v>18</v>
      </c>
      <c r="E880" s="5"/>
      <c r="F880" s="6"/>
      <c r="G880" s="6">
        <v>471006</v>
      </c>
      <c r="H880" s="19">
        <v>-180127</v>
      </c>
      <c r="I880" s="20"/>
      <c r="J880" s="20"/>
      <c r="K880" s="21"/>
    </row>
    <row r="881" spans="1:11" x14ac:dyDescent="0.3">
      <c r="A881" s="17" t="s">
        <v>565</v>
      </c>
      <c r="B881" s="18"/>
      <c r="C881" s="3" t="s">
        <v>28</v>
      </c>
      <c r="D881" s="4" t="s">
        <v>18</v>
      </c>
      <c r="E881" s="5"/>
      <c r="F881" s="6">
        <v>267229</v>
      </c>
      <c r="G881" s="6"/>
      <c r="H881" s="19">
        <v>-651133</v>
      </c>
      <c r="I881" s="20"/>
      <c r="J881" s="20"/>
      <c r="K881" s="21"/>
    </row>
    <row r="882" spans="1:11" x14ac:dyDescent="0.3">
      <c r="A882" s="17" t="s">
        <v>565</v>
      </c>
      <c r="B882" s="18"/>
      <c r="C882" s="3" t="s">
        <v>97</v>
      </c>
      <c r="D882" s="4" t="s">
        <v>11</v>
      </c>
      <c r="E882" s="5"/>
      <c r="F882" s="6"/>
      <c r="G882" s="6">
        <v>57769</v>
      </c>
      <c r="H882" s="19">
        <v>-383904</v>
      </c>
      <c r="I882" s="20"/>
      <c r="J882" s="20"/>
      <c r="K882" s="21"/>
    </row>
    <row r="883" spans="1:11" x14ac:dyDescent="0.3">
      <c r="A883" s="17" t="s">
        <v>565</v>
      </c>
      <c r="B883" s="18"/>
      <c r="C883" s="3" t="s">
        <v>61</v>
      </c>
      <c r="D883" s="4" t="s">
        <v>11</v>
      </c>
      <c r="E883" s="5"/>
      <c r="F883" s="6"/>
      <c r="G883" s="6">
        <v>55950</v>
      </c>
      <c r="H883" s="19">
        <v>-441673</v>
      </c>
      <c r="I883" s="20"/>
      <c r="J883" s="20"/>
      <c r="K883" s="21"/>
    </row>
    <row r="884" spans="1:11" x14ac:dyDescent="0.3">
      <c r="A884" s="17" t="s">
        <v>565</v>
      </c>
      <c r="B884" s="18"/>
      <c r="C884" s="3" t="s">
        <v>106</v>
      </c>
      <c r="D884" s="4" t="s">
        <v>18</v>
      </c>
      <c r="E884" s="5"/>
      <c r="F884" s="6">
        <v>4660648</v>
      </c>
      <c r="G884" s="6"/>
      <c r="H884" s="19">
        <v>-497623</v>
      </c>
      <c r="I884" s="20"/>
      <c r="J884" s="20"/>
      <c r="K884" s="21"/>
    </row>
    <row r="885" spans="1:11" x14ac:dyDescent="0.3">
      <c r="A885" s="17" t="s">
        <v>565</v>
      </c>
      <c r="B885" s="18"/>
      <c r="C885" s="3" t="s">
        <v>126</v>
      </c>
      <c r="D885" s="4" t="s">
        <v>11</v>
      </c>
      <c r="E885" s="5"/>
      <c r="F885" s="6">
        <v>36414</v>
      </c>
      <c r="G885" s="6"/>
      <c r="H885" s="19">
        <v>4163025</v>
      </c>
      <c r="I885" s="20"/>
      <c r="J885" s="20"/>
      <c r="K885" s="21"/>
    </row>
    <row r="886" spans="1:11" x14ac:dyDescent="0.3">
      <c r="A886" s="17" t="s">
        <v>565</v>
      </c>
      <c r="B886" s="18"/>
      <c r="C886" s="3" t="s">
        <v>30</v>
      </c>
      <c r="D886" s="4" t="s">
        <v>11</v>
      </c>
      <c r="E886" s="5"/>
      <c r="F886" s="6"/>
      <c r="G886" s="6">
        <v>618202</v>
      </c>
      <c r="H886" s="19">
        <v>4199439</v>
      </c>
      <c r="I886" s="20"/>
      <c r="J886" s="20"/>
      <c r="K886" s="21"/>
    </row>
    <row r="887" spans="1:11" x14ac:dyDescent="0.3">
      <c r="A887" s="17" t="s">
        <v>565</v>
      </c>
      <c r="B887" s="18"/>
      <c r="C887" s="3" t="s">
        <v>220</v>
      </c>
      <c r="D887" s="4" t="s">
        <v>18</v>
      </c>
      <c r="E887" s="5"/>
      <c r="F887" s="6"/>
      <c r="G887" s="6">
        <v>1350209</v>
      </c>
      <c r="H887" s="19">
        <v>3581237</v>
      </c>
      <c r="I887" s="20"/>
      <c r="J887" s="20"/>
      <c r="K887" s="21"/>
    </row>
    <row r="888" spans="1:11" x14ac:dyDescent="0.3">
      <c r="A888" s="17" t="s">
        <v>565</v>
      </c>
      <c r="B888" s="18"/>
      <c r="C888" s="3" t="s">
        <v>566</v>
      </c>
      <c r="D888" s="4" t="s">
        <v>11</v>
      </c>
      <c r="E888" s="5"/>
      <c r="F888" s="6"/>
      <c r="G888" s="6">
        <v>46948</v>
      </c>
      <c r="H888" s="19">
        <v>2231028</v>
      </c>
      <c r="I888" s="20"/>
      <c r="J888" s="20"/>
      <c r="K888" s="21"/>
    </row>
    <row r="889" spans="1:11" x14ac:dyDescent="0.3">
      <c r="A889" s="17" t="s">
        <v>565</v>
      </c>
      <c r="B889" s="18"/>
      <c r="C889" s="3" t="s">
        <v>298</v>
      </c>
      <c r="D889" s="4" t="s">
        <v>11</v>
      </c>
      <c r="E889" s="5"/>
      <c r="F889" s="6"/>
      <c r="G889" s="6">
        <v>54744</v>
      </c>
      <c r="H889" s="19">
        <v>2184080</v>
      </c>
      <c r="I889" s="20"/>
      <c r="J889" s="20"/>
      <c r="K889" s="21"/>
    </row>
    <row r="890" spans="1:11" x14ac:dyDescent="0.3">
      <c r="A890" s="17" t="s">
        <v>565</v>
      </c>
      <c r="B890" s="18"/>
      <c r="C890" s="3" t="s">
        <v>475</v>
      </c>
      <c r="D890" s="4" t="s">
        <v>11</v>
      </c>
      <c r="E890" s="5"/>
      <c r="F890" s="6"/>
      <c r="G890" s="6">
        <v>107943</v>
      </c>
      <c r="H890" s="19">
        <v>2129336</v>
      </c>
      <c r="I890" s="20"/>
      <c r="J890" s="20"/>
      <c r="K890" s="21"/>
    </row>
    <row r="891" spans="1:11" x14ac:dyDescent="0.3">
      <c r="A891" s="17" t="s">
        <v>567</v>
      </c>
      <c r="B891" s="18"/>
      <c r="C891" s="3" t="s">
        <v>48</v>
      </c>
      <c r="D891" s="4" t="s">
        <v>9</v>
      </c>
      <c r="E891" s="5"/>
      <c r="F891" s="6">
        <v>3456034</v>
      </c>
      <c r="G891" s="6"/>
      <c r="H891" s="19">
        <v>2021393</v>
      </c>
      <c r="I891" s="20"/>
      <c r="J891" s="20"/>
      <c r="K891" s="21"/>
    </row>
    <row r="892" spans="1:11" x14ac:dyDescent="0.3">
      <c r="A892" s="17" t="s">
        <v>567</v>
      </c>
      <c r="B892" s="18"/>
      <c r="C892" s="3" t="s">
        <v>568</v>
      </c>
      <c r="D892" s="4" t="s">
        <v>11</v>
      </c>
      <c r="E892" s="5"/>
      <c r="F892" s="6"/>
      <c r="G892" s="6">
        <v>4748433</v>
      </c>
      <c r="H892" s="19">
        <v>5477427</v>
      </c>
      <c r="I892" s="20"/>
      <c r="J892" s="20"/>
      <c r="K892" s="21"/>
    </row>
    <row r="893" spans="1:11" x14ac:dyDescent="0.3">
      <c r="A893" s="17" t="s">
        <v>567</v>
      </c>
      <c r="B893" s="18"/>
      <c r="C893" s="3" t="s">
        <v>17</v>
      </c>
      <c r="D893" s="4" t="s">
        <v>18</v>
      </c>
      <c r="E893" s="5"/>
      <c r="F893" s="6"/>
      <c r="G893" s="6">
        <v>252139</v>
      </c>
      <c r="H893" s="19">
        <v>728994</v>
      </c>
      <c r="I893" s="20"/>
      <c r="J893" s="20"/>
      <c r="K893" s="21"/>
    </row>
    <row r="894" spans="1:11" x14ac:dyDescent="0.3">
      <c r="A894" s="17" t="s">
        <v>567</v>
      </c>
      <c r="B894" s="18"/>
      <c r="C894" s="3" t="s">
        <v>96</v>
      </c>
      <c r="D894" s="4" t="s">
        <v>11</v>
      </c>
      <c r="E894" s="5"/>
      <c r="F894" s="6"/>
      <c r="G894" s="6">
        <v>177283</v>
      </c>
      <c r="H894" s="19">
        <v>476855</v>
      </c>
      <c r="I894" s="20"/>
      <c r="J894" s="20"/>
      <c r="K894" s="21"/>
    </row>
    <row r="895" spans="1:11" x14ac:dyDescent="0.3">
      <c r="A895" s="17" t="s">
        <v>567</v>
      </c>
      <c r="B895" s="18"/>
      <c r="C895" s="3" t="s">
        <v>77</v>
      </c>
      <c r="D895" s="4" t="s">
        <v>18</v>
      </c>
      <c r="E895" s="5"/>
      <c r="F895" s="6"/>
      <c r="G895" s="6">
        <v>39971</v>
      </c>
      <c r="H895" s="19">
        <v>299572</v>
      </c>
      <c r="I895" s="20"/>
      <c r="J895" s="20"/>
      <c r="K895" s="21"/>
    </row>
    <row r="896" spans="1:11" x14ac:dyDescent="0.3">
      <c r="A896" s="17" t="s">
        <v>567</v>
      </c>
      <c r="B896" s="18"/>
      <c r="C896" s="3" t="s">
        <v>30</v>
      </c>
      <c r="D896" s="4" t="s">
        <v>11</v>
      </c>
      <c r="E896" s="5"/>
      <c r="F896" s="6"/>
      <c r="G896" s="6">
        <v>57064</v>
      </c>
      <c r="H896" s="19">
        <v>259601</v>
      </c>
      <c r="I896" s="20"/>
      <c r="J896" s="20"/>
      <c r="K896" s="21"/>
    </row>
    <row r="897" spans="1:11" x14ac:dyDescent="0.3">
      <c r="A897" s="17" t="s">
        <v>567</v>
      </c>
      <c r="B897" s="18"/>
      <c r="C897" s="3" t="s">
        <v>569</v>
      </c>
      <c r="D897" s="4" t="s">
        <v>18</v>
      </c>
      <c r="E897" s="5"/>
      <c r="F897" s="6"/>
      <c r="G897" s="6">
        <v>67549</v>
      </c>
      <c r="H897" s="19">
        <v>202537</v>
      </c>
      <c r="I897" s="20"/>
      <c r="J897" s="20"/>
      <c r="K897" s="21"/>
    </row>
    <row r="898" spans="1:11" x14ac:dyDescent="0.3">
      <c r="A898" s="17" t="s">
        <v>567</v>
      </c>
      <c r="B898" s="18"/>
      <c r="C898" s="3" t="s">
        <v>380</v>
      </c>
      <c r="D898" s="4" t="s">
        <v>18</v>
      </c>
      <c r="E898" s="5"/>
      <c r="F898" s="6"/>
      <c r="G898" s="6">
        <v>134988</v>
      </c>
      <c r="H898" s="19">
        <v>134988</v>
      </c>
      <c r="I898" s="20"/>
      <c r="J898" s="20"/>
      <c r="K898" s="21"/>
    </row>
    <row r="899" spans="1:11" x14ac:dyDescent="0.3">
      <c r="A899" s="17" t="s">
        <v>570</v>
      </c>
      <c r="B899" s="18"/>
      <c r="C899" s="3" t="s">
        <v>48</v>
      </c>
      <c r="D899" s="4" t="s">
        <v>9</v>
      </c>
      <c r="E899" s="5"/>
      <c r="F899" s="6">
        <v>59640</v>
      </c>
      <c r="G899" s="6"/>
      <c r="H899" s="19">
        <v>0</v>
      </c>
      <c r="I899" s="20"/>
      <c r="J899" s="20"/>
      <c r="K899" s="21"/>
    </row>
    <row r="900" spans="1:11" x14ac:dyDescent="0.3">
      <c r="A900" s="17" t="s">
        <v>570</v>
      </c>
      <c r="B900" s="18"/>
      <c r="C900" s="3" t="s">
        <v>44</v>
      </c>
      <c r="D900" s="4" t="s">
        <v>11</v>
      </c>
      <c r="E900" s="5"/>
      <c r="F900" s="6"/>
      <c r="G900" s="6">
        <v>55950</v>
      </c>
      <c r="H900" s="19">
        <v>59640</v>
      </c>
      <c r="I900" s="20"/>
      <c r="J900" s="20"/>
      <c r="K900" s="21"/>
    </row>
    <row r="901" spans="1:11" x14ac:dyDescent="0.3">
      <c r="A901" s="17" t="s">
        <v>570</v>
      </c>
      <c r="B901" s="18"/>
      <c r="C901" s="3" t="s">
        <v>84</v>
      </c>
      <c r="D901" s="4" t="s">
        <v>11</v>
      </c>
      <c r="E901" s="5"/>
      <c r="F901" s="6">
        <v>18000</v>
      </c>
      <c r="G901" s="6"/>
      <c r="H901" s="19">
        <v>3690</v>
      </c>
      <c r="I901" s="20"/>
      <c r="J901" s="20"/>
      <c r="K901" s="21"/>
    </row>
    <row r="902" spans="1:11" x14ac:dyDescent="0.3">
      <c r="A902" s="17" t="s">
        <v>570</v>
      </c>
      <c r="B902" s="18"/>
      <c r="C902" s="3" t="s">
        <v>571</v>
      </c>
      <c r="D902" s="4" t="s">
        <v>11</v>
      </c>
      <c r="E902" s="5"/>
      <c r="F902" s="6"/>
      <c r="G902" s="6">
        <v>21690</v>
      </c>
      <c r="H902" s="19">
        <v>21690</v>
      </c>
      <c r="I902" s="20"/>
      <c r="J902" s="20"/>
      <c r="K902" s="21"/>
    </row>
    <row r="903" spans="1:11" x14ac:dyDescent="0.3">
      <c r="A903" s="17" t="s">
        <v>570</v>
      </c>
      <c r="B903" s="18"/>
      <c r="C903" s="3" t="s">
        <v>8</v>
      </c>
      <c r="D903" s="4" t="s">
        <v>9</v>
      </c>
      <c r="E903" s="5"/>
      <c r="F903" s="6"/>
      <c r="G903" s="6">
        <v>18564</v>
      </c>
      <c r="H903" s="19">
        <v>0</v>
      </c>
      <c r="I903" s="20"/>
      <c r="J903" s="20"/>
      <c r="K903" s="21"/>
    </row>
    <row r="904" spans="1:11" x14ac:dyDescent="0.3">
      <c r="A904" s="17" t="s">
        <v>570</v>
      </c>
      <c r="B904" s="18"/>
      <c r="C904" s="3" t="s">
        <v>126</v>
      </c>
      <c r="D904" s="4" t="s">
        <v>11</v>
      </c>
      <c r="E904" s="5"/>
      <c r="F904" s="6">
        <v>18564</v>
      </c>
      <c r="G904" s="6"/>
      <c r="H904" s="19">
        <v>-18564</v>
      </c>
      <c r="I904" s="20"/>
      <c r="J904" s="20"/>
      <c r="K904" s="21"/>
    </row>
    <row r="905" spans="1:11" x14ac:dyDescent="0.3">
      <c r="A905" s="17" t="s">
        <v>572</v>
      </c>
      <c r="B905" s="18"/>
      <c r="C905" s="3" t="s">
        <v>8</v>
      </c>
      <c r="D905" s="4" t="s">
        <v>9</v>
      </c>
      <c r="E905" s="5"/>
      <c r="F905" s="6"/>
      <c r="G905" s="6">
        <v>2067151</v>
      </c>
      <c r="H905" s="19">
        <v>0</v>
      </c>
      <c r="I905" s="20"/>
      <c r="J905" s="20"/>
      <c r="K905" s="21"/>
    </row>
    <row r="906" spans="1:11" x14ac:dyDescent="0.3">
      <c r="A906" s="17" t="s">
        <v>572</v>
      </c>
      <c r="B906" s="18"/>
      <c r="C906" s="3" t="s">
        <v>573</v>
      </c>
      <c r="D906" s="4" t="s">
        <v>11</v>
      </c>
      <c r="E906" s="5"/>
      <c r="F906" s="6"/>
      <c r="G906" s="6">
        <v>22870</v>
      </c>
      <c r="H906" s="19">
        <v>-2067151</v>
      </c>
      <c r="I906" s="20"/>
      <c r="J906" s="20"/>
      <c r="K906" s="21"/>
    </row>
    <row r="907" spans="1:11" x14ac:dyDescent="0.3">
      <c r="A907" s="17" t="s">
        <v>572</v>
      </c>
      <c r="B907" s="18"/>
      <c r="C907" s="3" t="s">
        <v>299</v>
      </c>
      <c r="D907" s="4" t="s">
        <v>11</v>
      </c>
      <c r="E907" s="5"/>
      <c r="F907" s="6"/>
      <c r="G907" s="6">
        <v>51779</v>
      </c>
      <c r="H907" s="19">
        <v>-2090021</v>
      </c>
      <c r="I907" s="20"/>
      <c r="J907" s="20"/>
      <c r="K907" s="21"/>
    </row>
    <row r="908" spans="1:11" x14ac:dyDescent="0.3">
      <c r="A908" s="17" t="s">
        <v>572</v>
      </c>
      <c r="B908" s="18"/>
      <c r="C908" s="3" t="s">
        <v>17</v>
      </c>
      <c r="D908" s="4" t="s">
        <v>18</v>
      </c>
      <c r="E908" s="5"/>
      <c r="F908" s="6"/>
      <c r="G908" s="6">
        <v>257103</v>
      </c>
      <c r="H908" s="19">
        <v>-2141800</v>
      </c>
      <c r="I908" s="20"/>
      <c r="J908" s="20"/>
      <c r="K908" s="21"/>
    </row>
    <row r="909" spans="1:11" x14ac:dyDescent="0.3">
      <c r="A909" s="17" t="s">
        <v>572</v>
      </c>
      <c r="B909" s="18"/>
      <c r="C909" s="3" t="s">
        <v>19</v>
      </c>
      <c r="D909" s="4" t="s">
        <v>18</v>
      </c>
      <c r="E909" s="5"/>
      <c r="F909" s="6">
        <v>2662233</v>
      </c>
      <c r="G909" s="6"/>
      <c r="H909" s="19">
        <v>-2398903</v>
      </c>
      <c r="I909" s="20"/>
      <c r="J909" s="20"/>
      <c r="K909" s="21"/>
    </row>
    <row r="910" spans="1:11" x14ac:dyDescent="0.3">
      <c r="A910" s="17" t="s">
        <v>572</v>
      </c>
      <c r="B910" s="18"/>
      <c r="C910" s="3" t="s">
        <v>403</v>
      </c>
      <c r="D910" s="4" t="s">
        <v>11</v>
      </c>
      <c r="E910" s="5"/>
      <c r="F910" s="6"/>
      <c r="G910" s="6">
        <v>78302</v>
      </c>
      <c r="H910" s="19">
        <v>263330</v>
      </c>
      <c r="I910" s="20"/>
      <c r="J910" s="20"/>
      <c r="K910" s="21"/>
    </row>
    <row r="911" spans="1:11" x14ac:dyDescent="0.3">
      <c r="A911" s="17" t="s">
        <v>572</v>
      </c>
      <c r="B911" s="18"/>
      <c r="C911" s="3" t="s">
        <v>150</v>
      </c>
      <c r="D911" s="4" t="s">
        <v>11</v>
      </c>
      <c r="E911" s="5"/>
      <c r="F911" s="6">
        <v>700000</v>
      </c>
      <c r="G911" s="6"/>
      <c r="H911" s="19">
        <v>185028</v>
      </c>
      <c r="I911" s="20"/>
      <c r="J911" s="20"/>
      <c r="K911" s="21"/>
    </row>
    <row r="912" spans="1:11" x14ac:dyDescent="0.3">
      <c r="A912" s="17" t="s">
        <v>572</v>
      </c>
      <c r="B912" s="18"/>
      <c r="C912" s="3" t="s">
        <v>421</v>
      </c>
      <c r="D912" s="4" t="s">
        <v>11</v>
      </c>
      <c r="E912" s="5"/>
      <c r="F912" s="6"/>
      <c r="G912" s="6">
        <v>71995</v>
      </c>
      <c r="H912" s="19">
        <v>885028</v>
      </c>
      <c r="I912" s="20"/>
      <c r="J912" s="20"/>
      <c r="K912" s="21"/>
    </row>
    <row r="913" spans="1:11" x14ac:dyDescent="0.3">
      <c r="A913" s="17" t="s">
        <v>572</v>
      </c>
      <c r="B913" s="18"/>
      <c r="C913" s="3" t="s">
        <v>574</v>
      </c>
      <c r="D913" s="4" t="s">
        <v>11</v>
      </c>
      <c r="E913" s="5"/>
      <c r="F913" s="6"/>
      <c r="G913" s="6">
        <v>24130</v>
      </c>
      <c r="H913" s="19">
        <v>813033</v>
      </c>
      <c r="I913" s="20"/>
      <c r="J913" s="20"/>
      <c r="K913" s="21"/>
    </row>
    <row r="914" spans="1:11" x14ac:dyDescent="0.3">
      <c r="A914" s="17" t="s">
        <v>572</v>
      </c>
      <c r="B914" s="18"/>
      <c r="C914" s="3" t="s">
        <v>30</v>
      </c>
      <c r="D914" s="4" t="s">
        <v>11</v>
      </c>
      <c r="E914" s="5"/>
      <c r="F914" s="6"/>
      <c r="G914" s="6">
        <v>788903</v>
      </c>
      <c r="H914" s="19">
        <v>788903</v>
      </c>
      <c r="I914" s="20"/>
      <c r="J914" s="20"/>
      <c r="K914" s="21"/>
    </row>
    <row r="915" spans="1:11" x14ac:dyDescent="0.3">
      <c r="A915" s="17" t="s">
        <v>575</v>
      </c>
      <c r="B915" s="18"/>
      <c r="C915" s="3" t="s">
        <v>8</v>
      </c>
      <c r="D915" s="4" t="s">
        <v>9</v>
      </c>
      <c r="E915" s="5"/>
      <c r="F915" s="6"/>
      <c r="G915" s="6">
        <v>71749</v>
      </c>
      <c r="H915" s="19">
        <v>0</v>
      </c>
      <c r="I915" s="20"/>
      <c r="J915" s="20"/>
      <c r="K915" s="21"/>
    </row>
    <row r="916" spans="1:11" x14ac:dyDescent="0.3">
      <c r="A916" s="17" t="s">
        <v>575</v>
      </c>
      <c r="B916" s="18"/>
      <c r="C916" s="3" t="s">
        <v>560</v>
      </c>
      <c r="D916" s="4" t="s">
        <v>11</v>
      </c>
      <c r="E916" s="5"/>
      <c r="F916" s="6"/>
      <c r="G916" s="6">
        <v>48163</v>
      </c>
      <c r="H916" s="19">
        <v>-71749</v>
      </c>
      <c r="I916" s="20"/>
      <c r="J916" s="20"/>
      <c r="K916" s="21"/>
    </row>
    <row r="917" spans="1:11" x14ac:dyDescent="0.3">
      <c r="A917" s="17" t="s">
        <v>575</v>
      </c>
      <c r="B917" s="18"/>
      <c r="C917" s="3" t="s">
        <v>17</v>
      </c>
      <c r="D917" s="4" t="s">
        <v>18</v>
      </c>
      <c r="E917" s="5"/>
      <c r="F917" s="6"/>
      <c r="G917" s="6">
        <v>98039</v>
      </c>
      <c r="H917" s="19">
        <v>-119912</v>
      </c>
      <c r="I917" s="20"/>
      <c r="J917" s="20"/>
      <c r="K917" s="21"/>
    </row>
    <row r="918" spans="1:11" x14ac:dyDescent="0.3">
      <c r="A918" s="17" t="s">
        <v>575</v>
      </c>
      <c r="B918" s="18"/>
      <c r="C918" s="3" t="s">
        <v>145</v>
      </c>
      <c r="D918" s="4" t="s">
        <v>11</v>
      </c>
      <c r="E918" s="5"/>
      <c r="F918" s="6"/>
      <c r="G918" s="6">
        <v>100549</v>
      </c>
      <c r="H918" s="19">
        <v>-217951</v>
      </c>
      <c r="I918" s="20"/>
      <c r="J918" s="20"/>
      <c r="K918" s="21"/>
    </row>
    <row r="919" spans="1:11" x14ac:dyDescent="0.3">
      <c r="A919" s="17" t="s">
        <v>575</v>
      </c>
      <c r="B919" s="18"/>
      <c r="C919" s="3" t="s">
        <v>126</v>
      </c>
      <c r="D919" s="4" t="s">
        <v>11</v>
      </c>
      <c r="E919" s="5"/>
      <c r="F919" s="6">
        <v>297500</v>
      </c>
      <c r="G919" s="6"/>
      <c r="H919" s="19">
        <v>-318500</v>
      </c>
      <c r="I919" s="20"/>
      <c r="J919" s="20"/>
      <c r="K919" s="21"/>
    </row>
    <row r="920" spans="1:11" x14ac:dyDescent="0.3">
      <c r="A920" s="17" t="s">
        <v>575</v>
      </c>
      <c r="B920" s="18"/>
      <c r="C920" s="3" t="s">
        <v>138</v>
      </c>
      <c r="D920" s="4" t="s">
        <v>11</v>
      </c>
      <c r="E920" s="5"/>
      <c r="F920" s="6">
        <v>56400</v>
      </c>
      <c r="G920" s="6"/>
      <c r="H920" s="19">
        <v>-21000</v>
      </c>
      <c r="I920" s="20"/>
      <c r="J920" s="20"/>
      <c r="K920" s="21"/>
    </row>
    <row r="921" spans="1:11" x14ac:dyDescent="0.3">
      <c r="A921" s="17" t="s">
        <v>575</v>
      </c>
      <c r="B921" s="18"/>
      <c r="C921" s="3" t="s">
        <v>91</v>
      </c>
      <c r="D921" s="4" t="s">
        <v>11</v>
      </c>
      <c r="E921" s="5"/>
      <c r="F921" s="6"/>
      <c r="G921" s="6">
        <v>35400</v>
      </c>
      <c r="H921" s="19">
        <v>35400</v>
      </c>
      <c r="I921" s="20"/>
      <c r="J921" s="20"/>
      <c r="K921" s="21"/>
    </row>
    <row r="922" spans="1:11" x14ac:dyDescent="0.3">
      <c r="A922" s="17" t="s">
        <v>576</v>
      </c>
      <c r="B922" s="18"/>
      <c r="C922" s="3" t="s">
        <v>48</v>
      </c>
      <c r="D922" s="4" t="s">
        <v>9</v>
      </c>
      <c r="E922" s="5"/>
      <c r="F922" s="6">
        <v>2501395</v>
      </c>
      <c r="G922" s="6"/>
      <c r="H922" s="19">
        <v>0</v>
      </c>
      <c r="I922" s="20"/>
      <c r="J922" s="20"/>
      <c r="K922" s="21"/>
    </row>
    <row r="923" spans="1:11" x14ac:dyDescent="0.3">
      <c r="A923" s="17" t="s">
        <v>576</v>
      </c>
      <c r="B923" s="18"/>
      <c r="C923" s="3" t="s">
        <v>143</v>
      </c>
      <c r="D923" s="4" t="s">
        <v>18</v>
      </c>
      <c r="E923" s="5"/>
      <c r="F923" s="6">
        <v>11841</v>
      </c>
      <c r="G923" s="6"/>
      <c r="H923" s="19">
        <v>2501395</v>
      </c>
      <c r="I923" s="20"/>
      <c r="J923" s="20"/>
      <c r="K923" s="21"/>
    </row>
    <row r="924" spans="1:11" x14ac:dyDescent="0.3">
      <c r="A924" s="17" t="s">
        <v>576</v>
      </c>
      <c r="B924" s="18"/>
      <c r="C924" s="3" t="s">
        <v>143</v>
      </c>
      <c r="D924" s="4" t="s">
        <v>18</v>
      </c>
      <c r="E924" s="5"/>
      <c r="F924" s="6">
        <v>6484</v>
      </c>
      <c r="G924" s="6"/>
      <c r="H924" s="19">
        <v>2513236</v>
      </c>
      <c r="I924" s="20"/>
      <c r="J924" s="20"/>
      <c r="K924" s="21"/>
    </row>
    <row r="925" spans="1:11" x14ac:dyDescent="0.3">
      <c r="A925" s="17" t="s">
        <v>576</v>
      </c>
      <c r="B925" s="18"/>
      <c r="C925" s="3" t="s">
        <v>238</v>
      </c>
      <c r="D925" s="4" t="s">
        <v>11</v>
      </c>
      <c r="E925" s="5"/>
      <c r="F925" s="6">
        <v>31000</v>
      </c>
      <c r="G925" s="6"/>
      <c r="H925" s="19">
        <v>2519720</v>
      </c>
      <c r="I925" s="20"/>
      <c r="J925" s="20"/>
      <c r="K925" s="21"/>
    </row>
    <row r="926" spans="1:11" x14ac:dyDescent="0.3">
      <c r="A926" s="17" t="s">
        <v>576</v>
      </c>
      <c r="B926" s="18"/>
      <c r="C926" s="3" t="s">
        <v>577</v>
      </c>
      <c r="D926" s="4" t="s">
        <v>11</v>
      </c>
      <c r="E926" s="5"/>
      <c r="F926" s="6"/>
      <c r="G926" s="6">
        <v>62933</v>
      </c>
      <c r="H926" s="19">
        <v>2550720</v>
      </c>
      <c r="I926" s="20"/>
      <c r="J926" s="20"/>
      <c r="K926" s="21"/>
    </row>
    <row r="927" spans="1:11" x14ac:dyDescent="0.3">
      <c r="A927" s="17" t="s">
        <v>576</v>
      </c>
      <c r="B927" s="18"/>
      <c r="C927" s="3" t="s">
        <v>17</v>
      </c>
      <c r="D927" s="4" t="s">
        <v>18</v>
      </c>
      <c r="E927" s="5"/>
      <c r="F927" s="6"/>
      <c r="G927" s="6">
        <v>153416</v>
      </c>
      <c r="H927" s="19">
        <v>2487787</v>
      </c>
      <c r="I927" s="20"/>
      <c r="J927" s="20"/>
      <c r="K927" s="21"/>
    </row>
    <row r="928" spans="1:11" x14ac:dyDescent="0.3">
      <c r="A928" s="17" t="s">
        <v>576</v>
      </c>
      <c r="B928" s="18"/>
      <c r="C928" s="3" t="s">
        <v>51</v>
      </c>
      <c r="D928" s="4" t="s">
        <v>11</v>
      </c>
      <c r="E928" s="5"/>
      <c r="F928" s="6"/>
      <c r="G928" s="6">
        <v>470000</v>
      </c>
      <c r="H928" s="19">
        <v>2334371</v>
      </c>
      <c r="I928" s="20"/>
      <c r="J928" s="20"/>
      <c r="K928" s="21"/>
    </row>
    <row r="929" spans="1:11" x14ac:dyDescent="0.3">
      <c r="A929" s="17" t="s">
        <v>576</v>
      </c>
      <c r="B929" s="18"/>
      <c r="C929" s="3" t="s">
        <v>50</v>
      </c>
      <c r="D929" s="4" t="s">
        <v>11</v>
      </c>
      <c r="E929" s="5"/>
      <c r="F929" s="6"/>
      <c r="G929" s="6">
        <v>900000</v>
      </c>
      <c r="H929" s="19">
        <v>1864371</v>
      </c>
      <c r="I929" s="20"/>
      <c r="J929" s="20"/>
      <c r="K929" s="21"/>
    </row>
    <row r="930" spans="1:11" x14ac:dyDescent="0.3">
      <c r="A930" s="17" t="s">
        <v>576</v>
      </c>
      <c r="B930" s="18"/>
      <c r="C930" s="3" t="s">
        <v>114</v>
      </c>
      <c r="D930" s="4" t="s">
        <v>18</v>
      </c>
      <c r="E930" s="5"/>
      <c r="F930" s="6"/>
      <c r="G930" s="6">
        <v>115116</v>
      </c>
      <c r="H930" s="19">
        <v>964371</v>
      </c>
      <c r="I930" s="20"/>
      <c r="J930" s="20"/>
      <c r="K930" s="21"/>
    </row>
    <row r="931" spans="1:11" x14ac:dyDescent="0.3">
      <c r="A931" s="17" t="s">
        <v>576</v>
      </c>
      <c r="B931" s="18"/>
      <c r="C931" s="3" t="s">
        <v>250</v>
      </c>
      <c r="D931" s="4" t="s">
        <v>11</v>
      </c>
      <c r="E931" s="5"/>
      <c r="F931" s="6"/>
      <c r="G931" s="6">
        <v>272549</v>
      </c>
      <c r="H931" s="19">
        <v>849255</v>
      </c>
      <c r="I931" s="20"/>
      <c r="J931" s="20"/>
      <c r="K931" s="21"/>
    </row>
    <row r="932" spans="1:11" x14ac:dyDescent="0.3">
      <c r="A932" s="17" t="s">
        <v>576</v>
      </c>
      <c r="B932" s="18"/>
      <c r="C932" s="3" t="s">
        <v>578</v>
      </c>
      <c r="D932" s="4" t="s">
        <v>11</v>
      </c>
      <c r="E932" s="5"/>
      <c r="F932" s="6"/>
      <c r="G932" s="6">
        <v>226100</v>
      </c>
      <c r="H932" s="19">
        <v>576706</v>
      </c>
      <c r="I932" s="20"/>
      <c r="J932" s="20"/>
      <c r="K932" s="21"/>
    </row>
    <row r="933" spans="1:11" x14ac:dyDescent="0.3">
      <c r="A933" s="17" t="s">
        <v>576</v>
      </c>
      <c r="B933" s="18"/>
      <c r="C933" s="3" t="s">
        <v>440</v>
      </c>
      <c r="D933" s="4" t="s">
        <v>11</v>
      </c>
      <c r="E933" s="5"/>
      <c r="F933" s="6"/>
      <c r="G933" s="6">
        <v>280463</v>
      </c>
      <c r="H933" s="19">
        <v>350606</v>
      </c>
      <c r="I933" s="20"/>
      <c r="J933" s="20"/>
      <c r="K933" s="21"/>
    </row>
    <row r="934" spans="1:11" x14ac:dyDescent="0.3">
      <c r="A934" s="17" t="s">
        <v>576</v>
      </c>
      <c r="B934" s="18"/>
      <c r="C934" s="3" t="s">
        <v>209</v>
      </c>
      <c r="D934" s="4" t="s">
        <v>11</v>
      </c>
      <c r="E934" s="5"/>
      <c r="F934" s="6"/>
      <c r="G934" s="6">
        <v>70143</v>
      </c>
      <c r="H934" s="19">
        <v>70143</v>
      </c>
      <c r="I934" s="20"/>
      <c r="J934" s="20"/>
      <c r="K934" s="21"/>
    </row>
    <row r="935" spans="1:11" x14ac:dyDescent="0.3">
      <c r="A935" s="17" t="s">
        <v>579</v>
      </c>
      <c r="B935" s="18"/>
      <c r="C935" s="3" t="s">
        <v>8</v>
      </c>
      <c r="D935" s="4" t="s">
        <v>9</v>
      </c>
      <c r="E935" s="5"/>
      <c r="F935" s="6"/>
      <c r="G935" s="6">
        <v>1262681</v>
      </c>
      <c r="H935" s="19">
        <v>0</v>
      </c>
      <c r="I935" s="20"/>
      <c r="J935" s="20"/>
      <c r="K935" s="21"/>
    </row>
    <row r="936" spans="1:11" x14ac:dyDescent="0.3">
      <c r="A936" s="17" t="s">
        <v>579</v>
      </c>
      <c r="B936" s="18"/>
      <c r="C936" s="3" t="s">
        <v>45</v>
      </c>
      <c r="D936" s="4" t="s">
        <v>18</v>
      </c>
      <c r="E936" s="5"/>
      <c r="F936" s="6"/>
      <c r="G936" s="6">
        <v>52929</v>
      </c>
      <c r="H936" s="19">
        <v>-1262681</v>
      </c>
      <c r="I936" s="20"/>
      <c r="J936" s="20"/>
      <c r="K936" s="21"/>
    </row>
    <row r="937" spans="1:11" x14ac:dyDescent="0.3">
      <c r="A937" s="17" t="s">
        <v>579</v>
      </c>
      <c r="B937" s="18"/>
      <c r="C937" s="3" t="s">
        <v>45</v>
      </c>
      <c r="D937" s="4" t="s">
        <v>18</v>
      </c>
      <c r="E937" s="5"/>
      <c r="F937" s="6"/>
      <c r="G937" s="6">
        <v>12897</v>
      </c>
      <c r="H937" s="19">
        <v>-1315610</v>
      </c>
      <c r="I937" s="20"/>
      <c r="J937" s="20"/>
      <c r="K937" s="21"/>
    </row>
    <row r="938" spans="1:11" x14ac:dyDescent="0.3">
      <c r="A938" s="17" t="s">
        <v>579</v>
      </c>
      <c r="B938" s="18"/>
      <c r="C938" s="3" t="s">
        <v>45</v>
      </c>
      <c r="D938" s="4" t="s">
        <v>18</v>
      </c>
      <c r="E938" s="5"/>
      <c r="F938" s="6"/>
      <c r="G938" s="6">
        <v>38690</v>
      </c>
      <c r="H938" s="19">
        <v>-1328507</v>
      </c>
      <c r="I938" s="20"/>
      <c r="J938" s="20"/>
      <c r="K938" s="21"/>
    </row>
    <row r="939" spans="1:11" x14ac:dyDescent="0.3">
      <c r="A939" s="17" t="s">
        <v>579</v>
      </c>
      <c r="B939" s="18"/>
      <c r="C939" s="3" t="s">
        <v>580</v>
      </c>
      <c r="D939" s="4" t="s">
        <v>11</v>
      </c>
      <c r="E939" s="5"/>
      <c r="F939" s="6"/>
      <c r="G939" s="6">
        <v>90688</v>
      </c>
      <c r="H939" s="19">
        <v>-1367197</v>
      </c>
      <c r="I939" s="20"/>
      <c r="J939" s="20"/>
      <c r="K939" s="21"/>
    </row>
    <row r="940" spans="1:11" x14ac:dyDescent="0.3">
      <c r="A940" s="17" t="s">
        <v>579</v>
      </c>
      <c r="B940" s="18"/>
      <c r="C940" s="3" t="s">
        <v>17</v>
      </c>
      <c r="D940" s="4" t="s">
        <v>18</v>
      </c>
      <c r="E940" s="5"/>
      <c r="F940" s="6"/>
      <c r="G940" s="6">
        <v>58796</v>
      </c>
      <c r="H940" s="19">
        <v>-1457885</v>
      </c>
      <c r="I940" s="20"/>
      <c r="J940" s="20"/>
      <c r="K940" s="21"/>
    </row>
    <row r="941" spans="1:11" x14ac:dyDescent="0.3">
      <c r="A941" s="17" t="s">
        <v>579</v>
      </c>
      <c r="B941" s="18"/>
      <c r="C941" s="3" t="s">
        <v>52</v>
      </c>
      <c r="D941" s="4" t="s">
        <v>11</v>
      </c>
      <c r="E941" s="5"/>
      <c r="F941" s="6">
        <v>1356600</v>
      </c>
      <c r="G941" s="6"/>
      <c r="H941" s="19">
        <v>-1516681</v>
      </c>
      <c r="I941" s="20"/>
      <c r="J941" s="20"/>
      <c r="K941" s="21"/>
    </row>
    <row r="942" spans="1:11" x14ac:dyDescent="0.3">
      <c r="A942" s="17" t="s">
        <v>579</v>
      </c>
      <c r="B942" s="18"/>
      <c r="C942" s="3" t="s">
        <v>300</v>
      </c>
      <c r="D942" s="4" t="s">
        <v>11</v>
      </c>
      <c r="E942" s="5"/>
      <c r="F942" s="6">
        <v>120000</v>
      </c>
      <c r="G942" s="6"/>
      <c r="H942" s="19">
        <v>-160081</v>
      </c>
      <c r="I942" s="20"/>
      <c r="J942" s="20"/>
      <c r="K942" s="21"/>
    </row>
    <row r="943" spans="1:11" x14ac:dyDescent="0.3">
      <c r="A943" s="17" t="s">
        <v>579</v>
      </c>
      <c r="B943" s="18"/>
      <c r="C943" s="3" t="s">
        <v>148</v>
      </c>
      <c r="D943" s="4" t="s">
        <v>11</v>
      </c>
      <c r="E943" s="5"/>
      <c r="F943" s="6">
        <v>90000</v>
      </c>
      <c r="G943" s="6"/>
      <c r="H943" s="19">
        <v>-40081</v>
      </c>
      <c r="I943" s="20"/>
      <c r="J943" s="20"/>
      <c r="K943" s="21"/>
    </row>
    <row r="944" spans="1:11" x14ac:dyDescent="0.3">
      <c r="A944" s="17" t="s">
        <v>579</v>
      </c>
      <c r="B944" s="18"/>
      <c r="C944" s="3" t="s">
        <v>149</v>
      </c>
      <c r="D944" s="4" t="s">
        <v>11</v>
      </c>
      <c r="E944" s="5"/>
      <c r="F944" s="6">
        <v>95000</v>
      </c>
      <c r="G944" s="6"/>
      <c r="H944" s="19">
        <v>49919</v>
      </c>
      <c r="I944" s="20"/>
      <c r="J944" s="20"/>
      <c r="K944" s="21"/>
    </row>
    <row r="945" spans="1:11" x14ac:dyDescent="0.3">
      <c r="A945" s="17" t="s">
        <v>579</v>
      </c>
      <c r="B945" s="18"/>
      <c r="C945" s="3" t="s">
        <v>581</v>
      </c>
      <c r="D945" s="4" t="s">
        <v>11</v>
      </c>
      <c r="E945" s="5"/>
      <c r="F945" s="6"/>
      <c r="G945" s="6">
        <v>144919</v>
      </c>
      <c r="H945" s="19">
        <v>144919</v>
      </c>
      <c r="I945" s="20"/>
      <c r="J945" s="20"/>
      <c r="K945" s="21"/>
    </row>
    <row r="946" spans="1:11" x14ac:dyDescent="0.3">
      <c r="A946" s="17" t="s">
        <v>582</v>
      </c>
      <c r="B946" s="18"/>
      <c r="C946" s="3" t="s">
        <v>48</v>
      </c>
      <c r="D946" s="4" t="s">
        <v>9</v>
      </c>
      <c r="E946" s="5"/>
      <c r="F946" s="6">
        <v>60988</v>
      </c>
      <c r="G946" s="6"/>
      <c r="H946" s="19">
        <v>0</v>
      </c>
      <c r="I946" s="20"/>
      <c r="J946" s="20"/>
      <c r="K946" s="21"/>
    </row>
    <row r="947" spans="1:11" x14ac:dyDescent="0.3">
      <c r="A947" s="17" t="s">
        <v>582</v>
      </c>
      <c r="B947" s="18"/>
      <c r="C947" s="3" t="s">
        <v>583</v>
      </c>
      <c r="D947" s="4" t="s">
        <v>584</v>
      </c>
      <c r="E947" s="5" t="s">
        <v>585</v>
      </c>
      <c r="F947" s="6">
        <v>6000000</v>
      </c>
      <c r="G947" s="6"/>
      <c r="H947" s="19">
        <v>60988</v>
      </c>
      <c r="I947" s="20"/>
      <c r="J947" s="20"/>
      <c r="K947" s="21"/>
    </row>
    <row r="948" spans="1:11" x14ac:dyDescent="0.3">
      <c r="A948" s="17" t="s">
        <v>582</v>
      </c>
      <c r="B948" s="18"/>
      <c r="C948" s="3" t="s">
        <v>152</v>
      </c>
      <c r="D948" s="4" t="s">
        <v>9</v>
      </c>
      <c r="E948" s="5"/>
      <c r="F948" s="6">
        <v>6967</v>
      </c>
      <c r="G948" s="6"/>
      <c r="H948" s="19">
        <v>6060988</v>
      </c>
      <c r="I948" s="20"/>
      <c r="J948" s="20"/>
      <c r="K948" s="21"/>
    </row>
    <row r="949" spans="1:11" x14ac:dyDescent="0.3">
      <c r="A949" s="17" t="s">
        <v>582</v>
      </c>
      <c r="B949" s="18"/>
      <c r="C949" s="3" t="s">
        <v>153</v>
      </c>
      <c r="D949" s="4" t="s">
        <v>9</v>
      </c>
      <c r="E949" s="5"/>
      <c r="F949" s="6">
        <v>423</v>
      </c>
      <c r="G949" s="6"/>
      <c r="H949" s="19">
        <v>6067955</v>
      </c>
      <c r="I949" s="20"/>
      <c r="J949" s="20"/>
      <c r="K949" s="21"/>
    </row>
    <row r="950" spans="1:11" x14ac:dyDescent="0.3">
      <c r="A950" s="17" t="s">
        <v>582</v>
      </c>
      <c r="B950" s="18"/>
      <c r="C950" s="3" t="s">
        <v>586</v>
      </c>
      <c r="D950" s="4" t="s">
        <v>11</v>
      </c>
      <c r="E950" s="5"/>
      <c r="F950" s="6"/>
      <c r="G950" s="6">
        <v>133664</v>
      </c>
      <c r="H950" s="19">
        <v>6068378</v>
      </c>
      <c r="I950" s="20"/>
      <c r="J950" s="20"/>
      <c r="K950" s="21"/>
    </row>
    <row r="951" spans="1:11" x14ac:dyDescent="0.3">
      <c r="A951" s="17" t="s">
        <v>582</v>
      </c>
      <c r="B951" s="18"/>
      <c r="C951" s="3" t="s">
        <v>19</v>
      </c>
      <c r="D951" s="4" t="s">
        <v>18</v>
      </c>
      <c r="E951" s="5"/>
      <c r="F951" s="6">
        <v>382259</v>
      </c>
      <c r="G951" s="6"/>
      <c r="H951" s="19">
        <v>5934714</v>
      </c>
      <c r="I951" s="20"/>
      <c r="J951" s="20"/>
      <c r="K951" s="21"/>
    </row>
    <row r="952" spans="1:11" x14ac:dyDescent="0.3">
      <c r="A952" s="17" t="s">
        <v>582</v>
      </c>
      <c r="B952" s="18"/>
      <c r="C952" s="3" t="s">
        <v>63</v>
      </c>
      <c r="D952" s="4" t="s">
        <v>11</v>
      </c>
      <c r="E952" s="5"/>
      <c r="F952" s="6"/>
      <c r="G952" s="6">
        <v>107943</v>
      </c>
      <c r="H952" s="19">
        <v>6316973</v>
      </c>
      <c r="I952" s="20"/>
      <c r="J952" s="20"/>
      <c r="K952" s="21"/>
    </row>
    <row r="953" spans="1:11" x14ac:dyDescent="0.3">
      <c r="A953" s="17" t="s">
        <v>582</v>
      </c>
      <c r="B953" s="18"/>
      <c r="C953" s="3" t="s">
        <v>17</v>
      </c>
      <c r="D953" s="4" t="s">
        <v>18</v>
      </c>
      <c r="E953" s="5"/>
      <c r="F953" s="6"/>
      <c r="G953" s="6">
        <v>242542</v>
      </c>
      <c r="H953" s="19">
        <v>6209030</v>
      </c>
      <c r="I953" s="20"/>
      <c r="J953" s="20"/>
      <c r="K953" s="21"/>
    </row>
    <row r="954" spans="1:11" x14ac:dyDescent="0.3">
      <c r="A954" s="17" t="s">
        <v>582</v>
      </c>
      <c r="B954" s="18"/>
      <c r="C954" s="3" t="s">
        <v>551</v>
      </c>
      <c r="D954" s="4" t="s">
        <v>11</v>
      </c>
      <c r="E954" s="5"/>
      <c r="F954" s="6"/>
      <c r="G954" s="6">
        <v>6000000</v>
      </c>
      <c r="H954" s="19">
        <v>5966488</v>
      </c>
      <c r="I954" s="20"/>
      <c r="J954" s="20"/>
      <c r="K954" s="21"/>
    </row>
    <row r="955" spans="1:11" x14ac:dyDescent="0.3">
      <c r="A955" s="17" t="s">
        <v>582</v>
      </c>
      <c r="B955" s="18"/>
      <c r="C955" s="3" t="s">
        <v>257</v>
      </c>
      <c r="D955" s="4" t="s">
        <v>11</v>
      </c>
      <c r="E955" s="5"/>
      <c r="F955" s="6">
        <v>160000</v>
      </c>
      <c r="G955" s="6"/>
      <c r="H955" s="19">
        <v>-33512</v>
      </c>
      <c r="I955" s="20"/>
      <c r="J955" s="20"/>
      <c r="K955" s="21"/>
    </row>
    <row r="956" spans="1:11" x14ac:dyDescent="0.3">
      <c r="A956" s="17" t="s">
        <v>582</v>
      </c>
      <c r="B956" s="18"/>
      <c r="C956" s="3" t="s">
        <v>587</v>
      </c>
      <c r="D956" s="4" t="s">
        <v>18</v>
      </c>
      <c r="E956" s="5"/>
      <c r="F956" s="6"/>
      <c r="G956" s="6">
        <v>80387</v>
      </c>
      <c r="H956" s="19">
        <v>126488</v>
      </c>
      <c r="I956" s="20"/>
      <c r="J956" s="20"/>
      <c r="K956" s="21"/>
    </row>
    <row r="957" spans="1:11" x14ac:dyDescent="0.3">
      <c r="A957" s="17" t="s">
        <v>582</v>
      </c>
      <c r="B957" s="18"/>
      <c r="C957" s="3" t="s">
        <v>122</v>
      </c>
      <c r="D957" s="4" t="s">
        <v>11</v>
      </c>
      <c r="E957" s="5"/>
      <c r="F957" s="6"/>
      <c r="G957" s="6">
        <v>46101</v>
      </c>
      <c r="H957" s="19">
        <v>46101</v>
      </c>
      <c r="I957" s="20"/>
      <c r="J957" s="20"/>
      <c r="K957" s="21"/>
    </row>
    <row r="958" spans="1:11" x14ac:dyDescent="0.3">
      <c r="A958" s="17" t="s">
        <v>588</v>
      </c>
      <c r="B958" s="18"/>
      <c r="C958" s="3" t="s">
        <v>8</v>
      </c>
      <c r="D958" s="4" t="s">
        <v>9</v>
      </c>
      <c r="E958" s="5"/>
      <c r="F958" s="6"/>
      <c r="G958" s="6">
        <v>2657912</v>
      </c>
      <c r="H958" s="19">
        <v>0</v>
      </c>
      <c r="I958" s="20"/>
      <c r="J958" s="20"/>
      <c r="K958" s="21"/>
    </row>
    <row r="959" spans="1:11" x14ac:dyDescent="0.3">
      <c r="A959" s="17" t="s">
        <v>588</v>
      </c>
      <c r="B959" s="18"/>
      <c r="C959" s="3" t="s">
        <v>17</v>
      </c>
      <c r="D959" s="4" t="s">
        <v>18</v>
      </c>
      <c r="E959" s="5"/>
      <c r="F959" s="6"/>
      <c r="G959" s="6">
        <v>210847</v>
      </c>
      <c r="H959" s="19">
        <v>-2657912</v>
      </c>
      <c r="I959" s="20"/>
      <c r="J959" s="20"/>
      <c r="K959" s="21"/>
    </row>
    <row r="960" spans="1:11" x14ac:dyDescent="0.3">
      <c r="A960" s="17" t="s">
        <v>588</v>
      </c>
      <c r="B960" s="18"/>
      <c r="C960" s="3" t="s">
        <v>589</v>
      </c>
      <c r="D960" s="4" t="s">
        <v>11</v>
      </c>
      <c r="E960" s="5"/>
      <c r="F960" s="6"/>
      <c r="G960" s="6">
        <v>16980</v>
      </c>
      <c r="H960" s="19">
        <v>-2868759</v>
      </c>
      <c r="I960" s="20"/>
      <c r="J960" s="20"/>
      <c r="K960" s="21"/>
    </row>
    <row r="961" spans="1:11" x14ac:dyDescent="0.3">
      <c r="A961" s="17" t="s">
        <v>588</v>
      </c>
      <c r="B961" s="18"/>
      <c r="C961" s="3" t="s">
        <v>277</v>
      </c>
      <c r="D961" s="4" t="s">
        <v>11</v>
      </c>
      <c r="E961" s="5"/>
      <c r="F961" s="6"/>
      <c r="G961" s="6">
        <v>80175</v>
      </c>
      <c r="H961" s="19">
        <v>-2885739</v>
      </c>
      <c r="I961" s="20"/>
      <c r="J961" s="20"/>
      <c r="K961" s="21"/>
    </row>
    <row r="962" spans="1:11" x14ac:dyDescent="0.3">
      <c r="A962" s="17" t="s">
        <v>588</v>
      </c>
      <c r="B962" s="18"/>
      <c r="C962" s="3" t="s">
        <v>19</v>
      </c>
      <c r="D962" s="4" t="s">
        <v>18</v>
      </c>
      <c r="E962" s="5"/>
      <c r="F962" s="6">
        <v>11793991</v>
      </c>
      <c r="G962" s="6"/>
      <c r="H962" s="19">
        <v>-2965914</v>
      </c>
      <c r="I962" s="20"/>
      <c r="J962" s="20"/>
      <c r="K962" s="21"/>
    </row>
    <row r="963" spans="1:11" x14ac:dyDescent="0.3">
      <c r="A963" s="17" t="s">
        <v>588</v>
      </c>
      <c r="B963" s="18"/>
      <c r="C963" s="3" t="s">
        <v>551</v>
      </c>
      <c r="D963" s="4" t="s">
        <v>11</v>
      </c>
      <c r="E963" s="5"/>
      <c r="F963" s="6"/>
      <c r="G963" s="6">
        <v>6000000</v>
      </c>
      <c r="H963" s="19">
        <v>8828077</v>
      </c>
      <c r="I963" s="20"/>
      <c r="J963" s="20"/>
      <c r="K963" s="21"/>
    </row>
    <row r="964" spans="1:11" x14ac:dyDescent="0.3">
      <c r="A964" s="17" t="s">
        <v>588</v>
      </c>
      <c r="B964" s="18"/>
      <c r="C964" s="3" t="s">
        <v>160</v>
      </c>
      <c r="D964" s="4" t="s">
        <v>18</v>
      </c>
      <c r="E964" s="5"/>
      <c r="F964" s="6"/>
      <c r="G964" s="6">
        <v>682929</v>
      </c>
      <c r="H964" s="19">
        <v>2828077</v>
      </c>
      <c r="I964" s="20"/>
      <c r="J964" s="20"/>
      <c r="K964" s="21"/>
    </row>
    <row r="965" spans="1:11" x14ac:dyDescent="0.3">
      <c r="A965" s="17" t="s">
        <v>588</v>
      </c>
      <c r="B965" s="18"/>
      <c r="C965" s="3" t="s">
        <v>590</v>
      </c>
      <c r="D965" s="4" t="s">
        <v>11</v>
      </c>
      <c r="E965" s="5"/>
      <c r="F965" s="6"/>
      <c r="G965" s="6">
        <v>272435</v>
      </c>
      <c r="H965" s="19">
        <v>2145148</v>
      </c>
      <c r="I965" s="20"/>
      <c r="J965" s="20"/>
      <c r="K965" s="21"/>
    </row>
    <row r="966" spans="1:11" x14ac:dyDescent="0.3">
      <c r="A966" s="17" t="s">
        <v>588</v>
      </c>
      <c r="B966" s="18"/>
      <c r="C966" s="3" t="s">
        <v>128</v>
      </c>
      <c r="D966" s="4" t="s">
        <v>11</v>
      </c>
      <c r="E966" s="5"/>
      <c r="F966" s="6"/>
      <c r="G966" s="6">
        <v>232638</v>
      </c>
      <c r="H966" s="19">
        <v>1872713</v>
      </c>
      <c r="I966" s="20"/>
      <c r="J966" s="20"/>
      <c r="K966" s="21"/>
    </row>
    <row r="967" spans="1:11" x14ac:dyDescent="0.3">
      <c r="A967" s="17" t="s">
        <v>588</v>
      </c>
      <c r="B967" s="18"/>
      <c r="C967" s="3" t="s">
        <v>591</v>
      </c>
      <c r="D967" s="4" t="s">
        <v>11</v>
      </c>
      <c r="E967" s="5"/>
      <c r="F967" s="6"/>
      <c r="G967" s="6">
        <v>52975</v>
      </c>
      <c r="H967" s="19">
        <v>1640075</v>
      </c>
      <c r="I967" s="20"/>
      <c r="J967" s="20"/>
      <c r="K967" s="21"/>
    </row>
    <row r="968" spans="1:11" x14ac:dyDescent="0.3">
      <c r="A968" s="17" t="s">
        <v>588</v>
      </c>
      <c r="B968" s="18"/>
      <c r="C968" s="3" t="s">
        <v>448</v>
      </c>
      <c r="D968" s="4" t="s">
        <v>11</v>
      </c>
      <c r="E968" s="5"/>
      <c r="F968" s="6"/>
      <c r="G968" s="6">
        <v>17330</v>
      </c>
      <c r="H968" s="19">
        <v>1587100</v>
      </c>
      <c r="I968" s="20"/>
      <c r="J968" s="20"/>
      <c r="K968" s="21"/>
    </row>
  </sheetData>
  <autoFilter ref="A1:L186" xr:uid="{31A3EDA2-BB1F-4DFF-9F34-B004576D5196}">
    <filterColumn colId="0" showButton="0"/>
    <filterColumn colId="7" showButton="0"/>
    <filterColumn colId="8" showButton="0"/>
    <filterColumn colId="9" showButton="0"/>
  </autoFilter>
  <mergeCells count="1937">
    <mergeCell ref="A964:B964"/>
    <mergeCell ref="H964:K964"/>
    <mergeCell ref="A965:B965"/>
    <mergeCell ref="H965:K965"/>
    <mergeCell ref="A966:B966"/>
    <mergeCell ref="H966:K966"/>
    <mergeCell ref="A967:B967"/>
    <mergeCell ref="H967:K967"/>
    <mergeCell ref="A968:B968"/>
    <mergeCell ref="H968:K968"/>
    <mergeCell ref="A955:B955"/>
    <mergeCell ref="H955:K955"/>
    <mergeCell ref="A956:B956"/>
    <mergeCell ref="H956:K956"/>
    <mergeCell ref="A957:B957"/>
    <mergeCell ref="H957:K957"/>
    <mergeCell ref="A958:B958"/>
    <mergeCell ref="H958:K958"/>
    <mergeCell ref="A959:B959"/>
    <mergeCell ref="H959:K959"/>
    <mergeCell ref="A960:B960"/>
    <mergeCell ref="H960:K960"/>
    <mergeCell ref="A961:B961"/>
    <mergeCell ref="H961:K961"/>
    <mergeCell ref="A962:B962"/>
    <mergeCell ref="H962:K962"/>
    <mergeCell ref="A963:B963"/>
    <mergeCell ref="H963:K963"/>
    <mergeCell ref="A946:B946"/>
    <mergeCell ref="H946:K946"/>
    <mergeCell ref="A947:B947"/>
    <mergeCell ref="H947:K947"/>
    <mergeCell ref="A948:B948"/>
    <mergeCell ref="H948:K948"/>
    <mergeCell ref="A949:B949"/>
    <mergeCell ref="H949:K949"/>
    <mergeCell ref="A950:B950"/>
    <mergeCell ref="H950:K950"/>
    <mergeCell ref="A951:B951"/>
    <mergeCell ref="H951:K951"/>
    <mergeCell ref="A952:B952"/>
    <mergeCell ref="H952:K952"/>
    <mergeCell ref="A953:B953"/>
    <mergeCell ref="H953:K953"/>
    <mergeCell ref="A954:B954"/>
    <mergeCell ref="H954:K954"/>
    <mergeCell ref="A937:B937"/>
    <mergeCell ref="H937:K937"/>
    <mergeCell ref="A938:B938"/>
    <mergeCell ref="H938:K938"/>
    <mergeCell ref="A939:B939"/>
    <mergeCell ref="H939:K939"/>
    <mergeCell ref="A940:B940"/>
    <mergeCell ref="H940:K940"/>
    <mergeCell ref="A941:B941"/>
    <mergeCell ref="H941:K941"/>
    <mergeCell ref="A942:B942"/>
    <mergeCell ref="H942:K942"/>
    <mergeCell ref="A943:B943"/>
    <mergeCell ref="H943:K943"/>
    <mergeCell ref="A944:B944"/>
    <mergeCell ref="H944:K944"/>
    <mergeCell ref="A945:B945"/>
    <mergeCell ref="H945:K945"/>
    <mergeCell ref="A928:B928"/>
    <mergeCell ref="H928:K928"/>
    <mergeCell ref="A929:B929"/>
    <mergeCell ref="H929:K929"/>
    <mergeCell ref="A930:B930"/>
    <mergeCell ref="H930:K930"/>
    <mergeCell ref="A931:B931"/>
    <mergeCell ref="H931:K931"/>
    <mergeCell ref="A932:B932"/>
    <mergeCell ref="H932:K932"/>
    <mergeCell ref="A933:B933"/>
    <mergeCell ref="H933:K933"/>
    <mergeCell ref="A934:B934"/>
    <mergeCell ref="H934:K934"/>
    <mergeCell ref="A935:B935"/>
    <mergeCell ref="H935:K935"/>
    <mergeCell ref="A936:B936"/>
    <mergeCell ref="H936:K936"/>
    <mergeCell ref="A919:B919"/>
    <mergeCell ref="H919:K919"/>
    <mergeCell ref="A920:B920"/>
    <mergeCell ref="H920:K920"/>
    <mergeCell ref="A921:B921"/>
    <mergeCell ref="H921:K921"/>
    <mergeCell ref="A922:B922"/>
    <mergeCell ref="H922:K922"/>
    <mergeCell ref="A923:B923"/>
    <mergeCell ref="H923:K923"/>
    <mergeCell ref="A924:B924"/>
    <mergeCell ref="H924:K924"/>
    <mergeCell ref="A925:B925"/>
    <mergeCell ref="H925:K925"/>
    <mergeCell ref="A926:B926"/>
    <mergeCell ref="H926:K926"/>
    <mergeCell ref="A927:B927"/>
    <mergeCell ref="H927:K927"/>
    <mergeCell ref="A910:B910"/>
    <mergeCell ref="H910:K910"/>
    <mergeCell ref="A911:B911"/>
    <mergeCell ref="H911:K911"/>
    <mergeCell ref="A912:B912"/>
    <mergeCell ref="H912:K912"/>
    <mergeCell ref="A913:B913"/>
    <mergeCell ref="H913:K913"/>
    <mergeCell ref="A914:B914"/>
    <mergeCell ref="H914:K914"/>
    <mergeCell ref="A915:B915"/>
    <mergeCell ref="H915:K915"/>
    <mergeCell ref="A916:B916"/>
    <mergeCell ref="H916:K916"/>
    <mergeCell ref="A917:B917"/>
    <mergeCell ref="H917:K917"/>
    <mergeCell ref="A918:B918"/>
    <mergeCell ref="H918:K918"/>
    <mergeCell ref="A901:B901"/>
    <mergeCell ref="H901:K901"/>
    <mergeCell ref="A902:B902"/>
    <mergeCell ref="H902:K902"/>
    <mergeCell ref="A903:B903"/>
    <mergeCell ref="H903:K903"/>
    <mergeCell ref="A904:B904"/>
    <mergeCell ref="H904:K904"/>
    <mergeCell ref="A905:B905"/>
    <mergeCell ref="H905:K905"/>
    <mergeCell ref="A906:B906"/>
    <mergeCell ref="H906:K906"/>
    <mergeCell ref="A907:B907"/>
    <mergeCell ref="H907:K907"/>
    <mergeCell ref="A908:B908"/>
    <mergeCell ref="H908:K908"/>
    <mergeCell ref="A909:B909"/>
    <mergeCell ref="H909:K909"/>
    <mergeCell ref="A892:B892"/>
    <mergeCell ref="H892:K892"/>
    <mergeCell ref="A893:B893"/>
    <mergeCell ref="H893:K893"/>
    <mergeCell ref="A894:B894"/>
    <mergeCell ref="H894:K894"/>
    <mergeCell ref="A895:B895"/>
    <mergeCell ref="H895:K895"/>
    <mergeCell ref="A896:B896"/>
    <mergeCell ref="H896:K896"/>
    <mergeCell ref="A897:B897"/>
    <mergeCell ref="H897:K897"/>
    <mergeCell ref="A898:B898"/>
    <mergeCell ref="H898:K898"/>
    <mergeCell ref="A899:B899"/>
    <mergeCell ref="H899:K899"/>
    <mergeCell ref="A900:B900"/>
    <mergeCell ref="H900:K900"/>
    <mergeCell ref="A883:B883"/>
    <mergeCell ref="H883:K883"/>
    <mergeCell ref="A884:B884"/>
    <mergeCell ref="H884:K884"/>
    <mergeCell ref="A885:B885"/>
    <mergeCell ref="H885:K885"/>
    <mergeCell ref="A886:B886"/>
    <mergeCell ref="H886:K886"/>
    <mergeCell ref="A887:B887"/>
    <mergeCell ref="H887:K887"/>
    <mergeCell ref="A888:B888"/>
    <mergeCell ref="H888:K888"/>
    <mergeCell ref="A889:B889"/>
    <mergeCell ref="H889:K889"/>
    <mergeCell ref="A890:B890"/>
    <mergeCell ref="H890:K890"/>
    <mergeCell ref="A891:B891"/>
    <mergeCell ref="H891:K891"/>
    <mergeCell ref="A874:B874"/>
    <mergeCell ref="H874:K874"/>
    <mergeCell ref="A875:B875"/>
    <mergeCell ref="H875:K875"/>
    <mergeCell ref="A876:B876"/>
    <mergeCell ref="H876:K876"/>
    <mergeCell ref="A877:B877"/>
    <mergeCell ref="H877:K877"/>
    <mergeCell ref="A878:B878"/>
    <mergeCell ref="H878:K878"/>
    <mergeCell ref="A879:B879"/>
    <mergeCell ref="H879:K879"/>
    <mergeCell ref="A880:B880"/>
    <mergeCell ref="H880:K880"/>
    <mergeCell ref="A881:B881"/>
    <mergeCell ref="H881:K881"/>
    <mergeCell ref="A882:B882"/>
    <mergeCell ref="H882:K882"/>
    <mergeCell ref="A865:B865"/>
    <mergeCell ref="H865:K865"/>
    <mergeCell ref="A866:B866"/>
    <mergeCell ref="H866:K866"/>
    <mergeCell ref="A867:B867"/>
    <mergeCell ref="H867:K867"/>
    <mergeCell ref="A868:B868"/>
    <mergeCell ref="H868:K868"/>
    <mergeCell ref="A869:B869"/>
    <mergeCell ref="H869:K869"/>
    <mergeCell ref="A870:B870"/>
    <mergeCell ref="H870:K870"/>
    <mergeCell ref="A871:B871"/>
    <mergeCell ref="H871:K871"/>
    <mergeCell ref="A872:B872"/>
    <mergeCell ref="H872:K872"/>
    <mergeCell ref="A873:B873"/>
    <mergeCell ref="H873:K873"/>
    <mergeCell ref="A856:B856"/>
    <mergeCell ref="H856:K856"/>
    <mergeCell ref="A857:B857"/>
    <mergeCell ref="H857:K857"/>
    <mergeCell ref="A858:B858"/>
    <mergeCell ref="H858:K858"/>
    <mergeCell ref="A859:B859"/>
    <mergeCell ref="H859:K859"/>
    <mergeCell ref="A860:B860"/>
    <mergeCell ref="H860:K860"/>
    <mergeCell ref="A861:B861"/>
    <mergeCell ref="H861:K861"/>
    <mergeCell ref="A862:B862"/>
    <mergeCell ref="H862:K862"/>
    <mergeCell ref="A863:B863"/>
    <mergeCell ref="H863:K863"/>
    <mergeCell ref="A864:B864"/>
    <mergeCell ref="H864:K864"/>
    <mergeCell ref="A847:B847"/>
    <mergeCell ref="H847:K847"/>
    <mergeCell ref="A848:B848"/>
    <mergeCell ref="H848:K848"/>
    <mergeCell ref="A849:B849"/>
    <mergeCell ref="H849:K849"/>
    <mergeCell ref="A850:B850"/>
    <mergeCell ref="H850:K850"/>
    <mergeCell ref="A851:B851"/>
    <mergeCell ref="H851:K851"/>
    <mergeCell ref="A852:B852"/>
    <mergeCell ref="H852:K852"/>
    <mergeCell ref="A853:B853"/>
    <mergeCell ref="H853:K853"/>
    <mergeCell ref="A854:B854"/>
    <mergeCell ref="H854:K854"/>
    <mergeCell ref="A855:B855"/>
    <mergeCell ref="H855:K855"/>
    <mergeCell ref="A838:B838"/>
    <mergeCell ref="H838:K838"/>
    <mergeCell ref="A839:B839"/>
    <mergeCell ref="H839:K839"/>
    <mergeCell ref="A840:B840"/>
    <mergeCell ref="H840:K840"/>
    <mergeCell ref="A841:B841"/>
    <mergeCell ref="H841:K841"/>
    <mergeCell ref="A842:B842"/>
    <mergeCell ref="H842:K842"/>
    <mergeCell ref="A843:B843"/>
    <mergeCell ref="H843:K843"/>
    <mergeCell ref="A844:B844"/>
    <mergeCell ref="H844:K844"/>
    <mergeCell ref="A845:B845"/>
    <mergeCell ref="H845:K845"/>
    <mergeCell ref="A846:B846"/>
    <mergeCell ref="H846:K846"/>
    <mergeCell ref="A829:B829"/>
    <mergeCell ref="H829:K829"/>
    <mergeCell ref="A830:B830"/>
    <mergeCell ref="H830:K830"/>
    <mergeCell ref="A831:B831"/>
    <mergeCell ref="H831:K831"/>
    <mergeCell ref="A832:B832"/>
    <mergeCell ref="H832:K832"/>
    <mergeCell ref="A833:B833"/>
    <mergeCell ref="H833:K833"/>
    <mergeCell ref="A834:B834"/>
    <mergeCell ref="H834:K834"/>
    <mergeCell ref="A835:B835"/>
    <mergeCell ref="H835:K835"/>
    <mergeCell ref="A836:B836"/>
    <mergeCell ref="H836:K836"/>
    <mergeCell ref="A837:B837"/>
    <mergeCell ref="H837:K837"/>
    <mergeCell ref="A820:B820"/>
    <mergeCell ref="H820:K820"/>
    <mergeCell ref="A821:B821"/>
    <mergeCell ref="H821:K821"/>
    <mergeCell ref="A822:B822"/>
    <mergeCell ref="H822:K822"/>
    <mergeCell ref="A823:B823"/>
    <mergeCell ref="H823:K823"/>
    <mergeCell ref="A824:B824"/>
    <mergeCell ref="H824:K824"/>
    <mergeCell ref="A825:B825"/>
    <mergeCell ref="H825:K825"/>
    <mergeCell ref="A826:B826"/>
    <mergeCell ref="H826:K826"/>
    <mergeCell ref="A827:B827"/>
    <mergeCell ref="H827:K827"/>
    <mergeCell ref="A828:B828"/>
    <mergeCell ref="H828:K828"/>
    <mergeCell ref="A811:B811"/>
    <mergeCell ref="H811:K811"/>
    <mergeCell ref="A812:B812"/>
    <mergeCell ref="H812:K812"/>
    <mergeCell ref="A813:B813"/>
    <mergeCell ref="H813:K813"/>
    <mergeCell ref="A814:B814"/>
    <mergeCell ref="H814:K814"/>
    <mergeCell ref="A815:B815"/>
    <mergeCell ref="H815:K815"/>
    <mergeCell ref="A816:B816"/>
    <mergeCell ref="H816:K816"/>
    <mergeCell ref="A817:B817"/>
    <mergeCell ref="H817:K817"/>
    <mergeCell ref="A818:B818"/>
    <mergeCell ref="H818:K818"/>
    <mergeCell ref="A819:B819"/>
    <mergeCell ref="H819:K819"/>
    <mergeCell ref="A802:B802"/>
    <mergeCell ref="H802:K802"/>
    <mergeCell ref="A803:B803"/>
    <mergeCell ref="H803:K803"/>
    <mergeCell ref="A804:B804"/>
    <mergeCell ref="H804:K804"/>
    <mergeCell ref="A805:B805"/>
    <mergeCell ref="H805:K805"/>
    <mergeCell ref="A806:B806"/>
    <mergeCell ref="H806:K806"/>
    <mergeCell ref="A807:B807"/>
    <mergeCell ref="H807:K807"/>
    <mergeCell ref="A808:B808"/>
    <mergeCell ref="H808:K808"/>
    <mergeCell ref="A809:B809"/>
    <mergeCell ref="H809:K809"/>
    <mergeCell ref="A810:B810"/>
    <mergeCell ref="H810:K810"/>
    <mergeCell ref="A793:B793"/>
    <mergeCell ref="H793:K793"/>
    <mergeCell ref="A794:B794"/>
    <mergeCell ref="H794:K794"/>
    <mergeCell ref="A795:B795"/>
    <mergeCell ref="H795:K795"/>
    <mergeCell ref="A796:B796"/>
    <mergeCell ref="H796:K796"/>
    <mergeCell ref="A797:B797"/>
    <mergeCell ref="H797:K797"/>
    <mergeCell ref="A798:B798"/>
    <mergeCell ref="H798:K798"/>
    <mergeCell ref="A799:B799"/>
    <mergeCell ref="H799:K799"/>
    <mergeCell ref="A800:B800"/>
    <mergeCell ref="H800:K800"/>
    <mergeCell ref="A801:B801"/>
    <mergeCell ref="H801:K801"/>
    <mergeCell ref="A784:B784"/>
    <mergeCell ref="H784:K784"/>
    <mergeCell ref="A785:B785"/>
    <mergeCell ref="H785:K785"/>
    <mergeCell ref="A786:B786"/>
    <mergeCell ref="H786:K786"/>
    <mergeCell ref="A787:B787"/>
    <mergeCell ref="H787:K787"/>
    <mergeCell ref="A788:B788"/>
    <mergeCell ref="H788:K788"/>
    <mergeCell ref="A789:B789"/>
    <mergeCell ref="H789:K789"/>
    <mergeCell ref="A790:B790"/>
    <mergeCell ref="H790:K790"/>
    <mergeCell ref="A791:B791"/>
    <mergeCell ref="H791:K791"/>
    <mergeCell ref="A792:B792"/>
    <mergeCell ref="H792:K792"/>
    <mergeCell ref="A775:B775"/>
    <mergeCell ref="H775:K775"/>
    <mergeCell ref="A776:B776"/>
    <mergeCell ref="H776:K776"/>
    <mergeCell ref="A777:B777"/>
    <mergeCell ref="H777:K777"/>
    <mergeCell ref="A778:B778"/>
    <mergeCell ref="H778:K778"/>
    <mergeCell ref="A779:B779"/>
    <mergeCell ref="H779:K779"/>
    <mergeCell ref="A780:B780"/>
    <mergeCell ref="H780:K780"/>
    <mergeCell ref="A781:B781"/>
    <mergeCell ref="H781:K781"/>
    <mergeCell ref="A782:B782"/>
    <mergeCell ref="H782:K782"/>
    <mergeCell ref="A783:B783"/>
    <mergeCell ref="H783:K783"/>
    <mergeCell ref="A766:B766"/>
    <mergeCell ref="H766:K766"/>
    <mergeCell ref="A767:B767"/>
    <mergeCell ref="H767:K767"/>
    <mergeCell ref="A768:B768"/>
    <mergeCell ref="H768:K768"/>
    <mergeCell ref="A769:B769"/>
    <mergeCell ref="H769:K769"/>
    <mergeCell ref="A770:B770"/>
    <mergeCell ref="H770:K770"/>
    <mergeCell ref="A771:B771"/>
    <mergeCell ref="H771:K771"/>
    <mergeCell ref="A772:B772"/>
    <mergeCell ref="H772:K772"/>
    <mergeCell ref="A773:B773"/>
    <mergeCell ref="H773:K773"/>
    <mergeCell ref="A774:B774"/>
    <mergeCell ref="H774:K774"/>
    <mergeCell ref="A600:B600"/>
    <mergeCell ref="H600:K600"/>
    <mergeCell ref="A601:B601"/>
    <mergeCell ref="H601:K601"/>
    <mergeCell ref="A602:B602"/>
    <mergeCell ref="H602:K602"/>
    <mergeCell ref="A595:B595"/>
    <mergeCell ref="H595:K595"/>
    <mergeCell ref="A596:B596"/>
    <mergeCell ref="H596:K596"/>
    <mergeCell ref="A597:B597"/>
    <mergeCell ref="H597:K597"/>
    <mergeCell ref="A598:B598"/>
    <mergeCell ref="H598:K598"/>
    <mergeCell ref="A599:B599"/>
    <mergeCell ref="H599:K599"/>
    <mergeCell ref="A590:B590"/>
    <mergeCell ref="H590:K590"/>
    <mergeCell ref="A591:B591"/>
    <mergeCell ref="H591:K591"/>
    <mergeCell ref="A592:B592"/>
    <mergeCell ref="H592:K592"/>
    <mergeCell ref="A593:B593"/>
    <mergeCell ref="H593:K593"/>
    <mergeCell ref="A594:B594"/>
    <mergeCell ref="H594:K594"/>
    <mergeCell ref="A585:B585"/>
    <mergeCell ref="H585:K585"/>
    <mergeCell ref="A586:B586"/>
    <mergeCell ref="H586:K586"/>
    <mergeCell ref="A587:B587"/>
    <mergeCell ref="H587:K587"/>
    <mergeCell ref="A588:B588"/>
    <mergeCell ref="H588:K588"/>
    <mergeCell ref="A589:B589"/>
    <mergeCell ref="H589:K589"/>
    <mergeCell ref="A580:B580"/>
    <mergeCell ref="H580:K580"/>
    <mergeCell ref="A581:B581"/>
    <mergeCell ref="H581:K581"/>
    <mergeCell ref="A582:B582"/>
    <mergeCell ref="H582:K582"/>
    <mergeCell ref="A583:B583"/>
    <mergeCell ref="H583:K583"/>
    <mergeCell ref="A584:B584"/>
    <mergeCell ref="H584:K584"/>
    <mergeCell ref="A575:B575"/>
    <mergeCell ref="H575:K575"/>
    <mergeCell ref="A576:B576"/>
    <mergeCell ref="H576:K576"/>
    <mergeCell ref="A577:B577"/>
    <mergeCell ref="H577:K577"/>
    <mergeCell ref="A578:B578"/>
    <mergeCell ref="H578:K578"/>
    <mergeCell ref="A579:B579"/>
    <mergeCell ref="H579:K579"/>
    <mergeCell ref="A570:B570"/>
    <mergeCell ref="H570:K570"/>
    <mergeCell ref="A571:B571"/>
    <mergeCell ref="H571:K571"/>
    <mergeCell ref="A572:B572"/>
    <mergeCell ref="H572:K572"/>
    <mergeCell ref="A573:B573"/>
    <mergeCell ref="H573:K573"/>
    <mergeCell ref="A574:B574"/>
    <mergeCell ref="H574:K574"/>
    <mergeCell ref="A565:B565"/>
    <mergeCell ref="H565:K565"/>
    <mergeCell ref="A566:B566"/>
    <mergeCell ref="H566:K566"/>
    <mergeCell ref="A567:B567"/>
    <mergeCell ref="H567:K567"/>
    <mergeCell ref="A568:B568"/>
    <mergeCell ref="H568:K568"/>
    <mergeCell ref="A569:B569"/>
    <mergeCell ref="H569:K569"/>
    <mergeCell ref="A560:B560"/>
    <mergeCell ref="H560:K560"/>
    <mergeCell ref="A561:B561"/>
    <mergeCell ref="H561:K561"/>
    <mergeCell ref="A562:B562"/>
    <mergeCell ref="H562:K562"/>
    <mergeCell ref="A563:B563"/>
    <mergeCell ref="H563:K563"/>
    <mergeCell ref="A564:B564"/>
    <mergeCell ref="H564:K564"/>
    <mergeCell ref="A555:B555"/>
    <mergeCell ref="H555:K555"/>
    <mergeCell ref="A556:B556"/>
    <mergeCell ref="H556:K556"/>
    <mergeCell ref="A557:B557"/>
    <mergeCell ref="H557:K557"/>
    <mergeCell ref="A558:B558"/>
    <mergeCell ref="H558:K558"/>
    <mergeCell ref="A559:B559"/>
    <mergeCell ref="H559:K559"/>
    <mergeCell ref="A550:B550"/>
    <mergeCell ref="H550:K550"/>
    <mergeCell ref="A551:B551"/>
    <mergeCell ref="H551:K551"/>
    <mergeCell ref="A552:B552"/>
    <mergeCell ref="H552:K552"/>
    <mergeCell ref="A553:B553"/>
    <mergeCell ref="H553:K553"/>
    <mergeCell ref="A554:B554"/>
    <mergeCell ref="H554:K554"/>
    <mergeCell ref="A545:B545"/>
    <mergeCell ref="H545:K545"/>
    <mergeCell ref="A546:B546"/>
    <mergeCell ref="H546:K546"/>
    <mergeCell ref="A547:B547"/>
    <mergeCell ref="H547:K547"/>
    <mergeCell ref="A548:B548"/>
    <mergeCell ref="H548:K548"/>
    <mergeCell ref="A549:B549"/>
    <mergeCell ref="H549:K549"/>
    <mergeCell ref="A540:B540"/>
    <mergeCell ref="H540:K540"/>
    <mergeCell ref="A541:B541"/>
    <mergeCell ref="H541:K541"/>
    <mergeCell ref="A542:B542"/>
    <mergeCell ref="H542:K542"/>
    <mergeCell ref="A543:B543"/>
    <mergeCell ref="H543:K543"/>
    <mergeCell ref="A544:B544"/>
    <mergeCell ref="H544:K544"/>
    <mergeCell ref="A535:B535"/>
    <mergeCell ref="H535:K535"/>
    <mergeCell ref="A536:B536"/>
    <mergeCell ref="H536:K536"/>
    <mergeCell ref="A537:B537"/>
    <mergeCell ref="H537:K537"/>
    <mergeCell ref="A538:B538"/>
    <mergeCell ref="H538:K538"/>
    <mergeCell ref="A539:B539"/>
    <mergeCell ref="H539:K539"/>
    <mergeCell ref="A530:B530"/>
    <mergeCell ref="H530:K530"/>
    <mergeCell ref="A531:B531"/>
    <mergeCell ref="H531:K531"/>
    <mergeCell ref="A532:B532"/>
    <mergeCell ref="H532:K532"/>
    <mergeCell ref="A533:B533"/>
    <mergeCell ref="H533:K533"/>
    <mergeCell ref="A534:B534"/>
    <mergeCell ref="H534:K534"/>
    <mergeCell ref="A525:B525"/>
    <mergeCell ref="H525:K525"/>
    <mergeCell ref="A526:B526"/>
    <mergeCell ref="H526:K526"/>
    <mergeCell ref="A527:B527"/>
    <mergeCell ref="H527:K527"/>
    <mergeCell ref="A528:B528"/>
    <mergeCell ref="H528:K528"/>
    <mergeCell ref="A529:B529"/>
    <mergeCell ref="H529:K529"/>
    <mergeCell ref="A520:B520"/>
    <mergeCell ref="H520:K520"/>
    <mergeCell ref="A521:B521"/>
    <mergeCell ref="H521:K521"/>
    <mergeCell ref="A522:B522"/>
    <mergeCell ref="H522:K522"/>
    <mergeCell ref="A523:B523"/>
    <mergeCell ref="H523:K523"/>
    <mergeCell ref="A524:B524"/>
    <mergeCell ref="H524:K524"/>
    <mergeCell ref="A515:B515"/>
    <mergeCell ref="H515:K515"/>
    <mergeCell ref="A516:B516"/>
    <mergeCell ref="H516:K516"/>
    <mergeCell ref="A517:B517"/>
    <mergeCell ref="H517:K517"/>
    <mergeCell ref="A518:B518"/>
    <mergeCell ref="H518:K518"/>
    <mergeCell ref="A519:B519"/>
    <mergeCell ref="H519:K519"/>
    <mergeCell ref="A510:B510"/>
    <mergeCell ref="H510:K510"/>
    <mergeCell ref="A511:B511"/>
    <mergeCell ref="H511:K511"/>
    <mergeCell ref="A512:B512"/>
    <mergeCell ref="H512:K512"/>
    <mergeCell ref="A513:B513"/>
    <mergeCell ref="H513:K513"/>
    <mergeCell ref="A514:B514"/>
    <mergeCell ref="H514:K514"/>
    <mergeCell ref="A505:B505"/>
    <mergeCell ref="H505:K505"/>
    <mergeCell ref="A506:B506"/>
    <mergeCell ref="H506:K506"/>
    <mergeCell ref="A507:B507"/>
    <mergeCell ref="H507:K507"/>
    <mergeCell ref="A508:B508"/>
    <mergeCell ref="H508:K508"/>
    <mergeCell ref="A509:B509"/>
    <mergeCell ref="H509:K509"/>
    <mergeCell ref="A500:B500"/>
    <mergeCell ref="H500:K500"/>
    <mergeCell ref="A501:B501"/>
    <mergeCell ref="H501:K501"/>
    <mergeCell ref="A502:B502"/>
    <mergeCell ref="H502:K502"/>
    <mergeCell ref="A503:B503"/>
    <mergeCell ref="H503:K503"/>
    <mergeCell ref="A504:B504"/>
    <mergeCell ref="H504:K504"/>
    <mergeCell ref="A495:B495"/>
    <mergeCell ref="H495:K495"/>
    <mergeCell ref="A496:B496"/>
    <mergeCell ref="H496:K496"/>
    <mergeCell ref="A497:B497"/>
    <mergeCell ref="H497:K497"/>
    <mergeCell ref="A498:B498"/>
    <mergeCell ref="H498:K498"/>
    <mergeCell ref="A499:B499"/>
    <mergeCell ref="H499:K499"/>
    <mergeCell ref="A490:B490"/>
    <mergeCell ref="H490:K490"/>
    <mergeCell ref="A491:B491"/>
    <mergeCell ref="H491:K491"/>
    <mergeCell ref="A492:B492"/>
    <mergeCell ref="H492:K492"/>
    <mergeCell ref="A493:B493"/>
    <mergeCell ref="H493:K493"/>
    <mergeCell ref="A494:B494"/>
    <mergeCell ref="H494:K494"/>
    <mergeCell ref="A485:B485"/>
    <mergeCell ref="H485:K485"/>
    <mergeCell ref="A486:B486"/>
    <mergeCell ref="H486:K486"/>
    <mergeCell ref="A487:B487"/>
    <mergeCell ref="H487:K487"/>
    <mergeCell ref="A488:B488"/>
    <mergeCell ref="H488:K488"/>
    <mergeCell ref="A489:B489"/>
    <mergeCell ref="H489:K489"/>
    <mergeCell ref="A480:B480"/>
    <mergeCell ref="H480:K480"/>
    <mergeCell ref="A481:B481"/>
    <mergeCell ref="H481:K481"/>
    <mergeCell ref="A482:B482"/>
    <mergeCell ref="H482:K482"/>
    <mergeCell ref="A483:B483"/>
    <mergeCell ref="H483:K483"/>
    <mergeCell ref="A484:B484"/>
    <mergeCell ref="H484:K484"/>
    <mergeCell ref="A475:B475"/>
    <mergeCell ref="H475:K475"/>
    <mergeCell ref="A476:B476"/>
    <mergeCell ref="H476:K476"/>
    <mergeCell ref="A477:B477"/>
    <mergeCell ref="H477:K477"/>
    <mergeCell ref="A478:B478"/>
    <mergeCell ref="H478:K478"/>
    <mergeCell ref="A479:B479"/>
    <mergeCell ref="H479:K479"/>
    <mergeCell ref="A470:B470"/>
    <mergeCell ref="H470:K470"/>
    <mergeCell ref="A471:B471"/>
    <mergeCell ref="H471:K471"/>
    <mergeCell ref="A472:B472"/>
    <mergeCell ref="H472:K472"/>
    <mergeCell ref="A473:B473"/>
    <mergeCell ref="H473:K473"/>
    <mergeCell ref="A474:B474"/>
    <mergeCell ref="H474:K474"/>
    <mergeCell ref="A465:B465"/>
    <mergeCell ref="H465:K465"/>
    <mergeCell ref="A466:B466"/>
    <mergeCell ref="H466:K466"/>
    <mergeCell ref="A467:B467"/>
    <mergeCell ref="H467:K467"/>
    <mergeCell ref="A468:B468"/>
    <mergeCell ref="H468:K468"/>
    <mergeCell ref="A469:B469"/>
    <mergeCell ref="H469:K469"/>
    <mergeCell ref="A460:B460"/>
    <mergeCell ref="H460:K460"/>
    <mergeCell ref="A461:B461"/>
    <mergeCell ref="H461:K461"/>
    <mergeCell ref="A462:B462"/>
    <mergeCell ref="H462:K462"/>
    <mergeCell ref="A463:B463"/>
    <mergeCell ref="H463:K463"/>
    <mergeCell ref="A464:B464"/>
    <mergeCell ref="H464:K464"/>
    <mergeCell ref="A455:B455"/>
    <mergeCell ref="H455:K455"/>
    <mergeCell ref="A456:B456"/>
    <mergeCell ref="H456:K456"/>
    <mergeCell ref="A457:B457"/>
    <mergeCell ref="H457:K457"/>
    <mergeCell ref="A458:B458"/>
    <mergeCell ref="H458:K458"/>
    <mergeCell ref="A459:B459"/>
    <mergeCell ref="H459:K459"/>
    <mergeCell ref="A450:B450"/>
    <mergeCell ref="H450:K450"/>
    <mergeCell ref="A451:B451"/>
    <mergeCell ref="H451:K451"/>
    <mergeCell ref="A452:B452"/>
    <mergeCell ref="H452:K452"/>
    <mergeCell ref="A453:B453"/>
    <mergeCell ref="H453:K453"/>
    <mergeCell ref="A454:B454"/>
    <mergeCell ref="H454:K454"/>
    <mergeCell ref="A445:B445"/>
    <mergeCell ref="H445:K445"/>
    <mergeCell ref="A446:B446"/>
    <mergeCell ref="H446:K446"/>
    <mergeCell ref="A447:B447"/>
    <mergeCell ref="H447:K447"/>
    <mergeCell ref="A448:B448"/>
    <mergeCell ref="H448:K448"/>
    <mergeCell ref="A449:B449"/>
    <mergeCell ref="H449:K449"/>
    <mergeCell ref="A440:B440"/>
    <mergeCell ref="H440:K440"/>
    <mergeCell ref="A441:B441"/>
    <mergeCell ref="H441:K441"/>
    <mergeCell ref="A442:B442"/>
    <mergeCell ref="H442:K442"/>
    <mergeCell ref="A443:B443"/>
    <mergeCell ref="H443:K443"/>
    <mergeCell ref="A444:B444"/>
    <mergeCell ref="H444:K444"/>
    <mergeCell ref="A435:B435"/>
    <mergeCell ref="H435:K435"/>
    <mergeCell ref="A436:B436"/>
    <mergeCell ref="H436:K436"/>
    <mergeCell ref="A437:B437"/>
    <mergeCell ref="H437:K437"/>
    <mergeCell ref="A438:B438"/>
    <mergeCell ref="H438:K438"/>
    <mergeCell ref="A439:B439"/>
    <mergeCell ref="H439:K439"/>
    <mergeCell ref="A430:B430"/>
    <mergeCell ref="H430:K430"/>
    <mergeCell ref="A431:B431"/>
    <mergeCell ref="H431:K431"/>
    <mergeCell ref="A432:B432"/>
    <mergeCell ref="H432:K432"/>
    <mergeCell ref="A433:B433"/>
    <mergeCell ref="H433:K433"/>
    <mergeCell ref="A434:B434"/>
    <mergeCell ref="H434:K434"/>
    <mergeCell ref="A425:B425"/>
    <mergeCell ref="H425:K425"/>
    <mergeCell ref="A426:B426"/>
    <mergeCell ref="H426:K426"/>
    <mergeCell ref="A427:B427"/>
    <mergeCell ref="H427:K427"/>
    <mergeCell ref="A428:B428"/>
    <mergeCell ref="H428:K428"/>
    <mergeCell ref="A429:B429"/>
    <mergeCell ref="H429:K429"/>
    <mergeCell ref="A420:B420"/>
    <mergeCell ref="H420:K420"/>
    <mergeCell ref="A421:B421"/>
    <mergeCell ref="H421:K421"/>
    <mergeCell ref="A422:B422"/>
    <mergeCell ref="H422:K422"/>
    <mergeCell ref="A423:B423"/>
    <mergeCell ref="H423:K423"/>
    <mergeCell ref="A424:B424"/>
    <mergeCell ref="H424:K424"/>
    <mergeCell ref="A415:B415"/>
    <mergeCell ref="H415:K415"/>
    <mergeCell ref="A416:B416"/>
    <mergeCell ref="H416:K416"/>
    <mergeCell ref="A417:B417"/>
    <mergeCell ref="H417:K417"/>
    <mergeCell ref="A418:B418"/>
    <mergeCell ref="H418:K418"/>
    <mergeCell ref="A419:B419"/>
    <mergeCell ref="H419:K419"/>
    <mergeCell ref="A410:B410"/>
    <mergeCell ref="H410:K410"/>
    <mergeCell ref="A411:B411"/>
    <mergeCell ref="H411:K411"/>
    <mergeCell ref="A412:B412"/>
    <mergeCell ref="H412:K412"/>
    <mergeCell ref="A413:B413"/>
    <mergeCell ref="H413:K413"/>
    <mergeCell ref="A414:B414"/>
    <mergeCell ref="H414:K414"/>
    <mergeCell ref="A405:B405"/>
    <mergeCell ref="H405:K405"/>
    <mergeCell ref="A406:B406"/>
    <mergeCell ref="H406:K406"/>
    <mergeCell ref="A407:B407"/>
    <mergeCell ref="H407:K407"/>
    <mergeCell ref="A408:B408"/>
    <mergeCell ref="H408:K408"/>
    <mergeCell ref="A409:B409"/>
    <mergeCell ref="H409:K409"/>
    <mergeCell ref="H332:K332"/>
    <mergeCell ref="A332:B332"/>
    <mergeCell ref="H303:K303"/>
    <mergeCell ref="H304:K304"/>
    <mergeCell ref="H305:K305"/>
    <mergeCell ref="H306:K306"/>
    <mergeCell ref="H307:K307"/>
    <mergeCell ref="H308:K308"/>
    <mergeCell ref="H309:K309"/>
    <mergeCell ref="H310:K310"/>
    <mergeCell ref="H311:K311"/>
    <mergeCell ref="H312:K312"/>
    <mergeCell ref="H313:K313"/>
    <mergeCell ref="H314:K314"/>
    <mergeCell ref="H315:K315"/>
    <mergeCell ref="H316:K316"/>
    <mergeCell ref="H317:K317"/>
    <mergeCell ref="H318:K318"/>
    <mergeCell ref="H319:K319"/>
    <mergeCell ref="H320:K320"/>
    <mergeCell ref="H321:K321"/>
    <mergeCell ref="H322:K322"/>
    <mergeCell ref="H323:K323"/>
    <mergeCell ref="H324:K324"/>
    <mergeCell ref="H325:K325"/>
    <mergeCell ref="H326:K326"/>
    <mergeCell ref="H327:K327"/>
    <mergeCell ref="H328:K328"/>
    <mergeCell ref="H329:K329"/>
    <mergeCell ref="H330:K330"/>
    <mergeCell ref="H331:K331"/>
    <mergeCell ref="A317:B317"/>
    <mergeCell ref="A318:B318"/>
    <mergeCell ref="A319:B319"/>
    <mergeCell ref="A320:B320"/>
    <mergeCell ref="A321:B321"/>
    <mergeCell ref="A327:B327"/>
    <mergeCell ref="A328:B328"/>
    <mergeCell ref="A329:B329"/>
    <mergeCell ref="A330:B330"/>
    <mergeCell ref="A331:B331"/>
    <mergeCell ref="A322:B322"/>
    <mergeCell ref="A323:B323"/>
    <mergeCell ref="A324:B324"/>
    <mergeCell ref="A325:B325"/>
    <mergeCell ref="A326:B326"/>
    <mergeCell ref="A312:B312"/>
    <mergeCell ref="A313:B313"/>
    <mergeCell ref="A314:B314"/>
    <mergeCell ref="A315:B315"/>
    <mergeCell ref="A316:B316"/>
    <mergeCell ref="A307:B307"/>
    <mergeCell ref="A308:B308"/>
    <mergeCell ref="A309:B309"/>
    <mergeCell ref="A310:B310"/>
    <mergeCell ref="A311:B311"/>
    <mergeCell ref="A303:B303"/>
    <mergeCell ref="A304:B304"/>
    <mergeCell ref="A305:B305"/>
    <mergeCell ref="A306:B306"/>
    <mergeCell ref="A4:B4"/>
    <mergeCell ref="H4:K4"/>
    <mergeCell ref="A5:B5"/>
    <mergeCell ref="H5:K5"/>
    <mergeCell ref="A6:B6"/>
    <mergeCell ref="H6:K6"/>
    <mergeCell ref="A12:B12"/>
    <mergeCell ref="H12:K12"/>
    <mergeCell ref="A16:B16"/>
    <mergeCell ref="H16:K16"/>
    <mergeCell ref="A17:B17"/>
    <mergeCell ref="H17:K17"/>
    <mergeCell ref="A18:B18"/>
    <mergeCell ref="H18:K18"/>
    <mergeCell ref="A13:B13"/>
    <mergeCell ref="H13:K13"/>
    <mergeCell ref="A14:B14"/>
    <mergeCell ref="H14:K14"/>
    <mergeCell ref="A15:B15"/>
    <mergeCell ref="H15:K15"/>
    <mergeCell ref="A1:B1"/>
    <mergeCell ref="H1:K1"/>
    <mergeCell ref="A2:B2"/>
    <mergeCell ref="H2:K2"/>
    <mergeCell ref="A3:B3"/>
    <mergeCell ref="H3:K3"/>
    <mergeCell ref="A10:B10"/>
    <mergeCell ref="H10:K10"/>
    <mergeCell ref="A11:B11"/>
    <mergeCell ref="H11:K11"/>
    <mergeCell ref="A7:B7"/>
    <mergeCell ref="H7:K7"/>
    <mergeCell ref="A8:B8"/>
    <mergeCell ref="H8:K8"/>
    <mergeCell ref="A9:B9"/>
    <mergeCell ref="H9:K9"/>
    <mergeCell ref="A22:B22"/>
    <mergeCell ref="H22:K22"/>
    <mergeCell ref="A23:B23"/>
    <mergeCell ref="H23:K23"/>
    <mergeCell ref="A24:B24"/>
    <mergeCell ref="H24:K24"/>
    <mergeCell ref="A19:B19"/>
    <mergeCell ref="H19:K19"/>
    <mergeCell ref="A20:B20"/>
    <mergeCell ref="H20:K20"/>
    <mergeCell ref="A21:B21"/>
    <mergeCell ref="H21:K21"/>
    <mergeCell ref="A28:B28"/>
    <mergeCell ref="H28:K28"/>
    <mergeCell ref="A29:B29"/>
    <mergeCell ref="H29:K29"/>
    <mergeCell ref="A30:B30"/>
    <mergeCell ref="H30:K30"/>
    <mergeCell ref="A25:B25"/>
    <mergeCell ref="H25:K25"/>
    <mergeCell ref="A26:B26"/>
    <mergeCell ref="H26:K26"/>
    <mergeCell ref="A27:B27"/>
    <mergeCell ref="H27:K27"/>
    <mergeCell ref="A34:B34"/>
    <mergeCell ref="H34:K34"/>
    <mergeCell ref="A35:B35"/>
    <mergeCell ref="H35:K35"/>
    <mergeCell ref="A36:B36"/>
    <mergeCell ref="H36:K36"/>
    <mergeCell ref="A31:B31"/>
    <mergeCell ref="H31:K31"/>
    <mergeCell ref="A32:B32"/>
    <mergeCell ref="H32:K32"/>
    <mergeCell ref="A33:B33"/>
    <mergeCell ref="H33:K33"/>
    <mergeCell ref="A40:B40"/>
    <mergeCell ref="H40:K40"/>
    <mergeCell ref="A41:B41"/>
    <mergeCell ref="H41:K41"/>
    <mergeCell ref="A42:B42"/>
    <mergeCell ref="H42:K42"/>
    <mergeCell ref="A37:B37"/>
    <mergeCell ref="H37:K37"/>
    <mergeCell ref="A38:B38"/>
    <mergeCell ref="H38:K38"/>
    <mergeCell ref="A39:B39"/>
    <mergeCell ref="H39:K39"/>
    <mergeCell ref="A46:B46"/>
    <mergeCell ref="H46:K46"/>
    <mergeCell ref="A47:B47"/>
    <mergeCell ref="H47:K47"/>
    <mergeCell ref="A48:B48"/>
    <mergeCell ref="H48:K48"/>
    <mergeCell ref="A43:B43"/>
    <mergeCell ref="H43:K43"/>
    <mergeCell ref="A44:B44"/>
    <mergeCell ref="H44:K44"/>
    <mergeCell ref="A45:B45"/>
    <mergeCell ref="H45:K45"/>
    <mergeCell ref="A52:B52"/>
    <mergeCell ref="H52:K52"/>
    <mergeCell ref="A53:B53"/>
    <mergeCell ref="H53:K53"/>
    <mergeCell ref="A54:B54"/>
    <mergeCell ref="H54:K54"/>
    <mergeCell ref="A49:B49"/>
    <mergeCell ref="H49:K49"/>
    <mergeCell ref="A50:B50"/>
    <mergeCell ref="H50:K50"/>
    <mergeCell ref="A51:B51"/>
    <mergeCell ref="H51:K51"/>
    <mergeCell ref="A58:B58"/>
    <mergeCell ref="H58:K58"/>
    <mergeCell ref="A59:B59"/>
    <mergeCell ref="H59:K59"/>
    <mergeCell ref="A60:B60"/>
    <mergeCell ref="H60:K60"/>
    <mergeCell ref="A55:B55"/>
    <mergeCell ref="H55:K55"/>
    <mergeCell ref="A56:B56"/>
    <mergeCell ref="H56:K56"/>
    <mergeCell ref="A57:B57"/>
    <mergeCell ref="H57:K57"/>
    <mergeCell ref="A64:B64"/>
    <mergeCell ref="H64:K64"/>
    <mergeCell ref="A65:B65"/>
    <mergeCell ref="H65:K65"/>
    <mergeCell ref="A66:B66"/>
    <mergeCell ref="H66:K66"/>
    <mergeCell ref="A61:B61"/>
    <mergeCell ref="H61:K61"/>
    <mergeCell ref="A62:B62"/>
    <mergeCell ref="H62:K62"/>
    <mergeCell ref="A63:B63"/>
    <mergeCell ref="H63:K63"/>
    <mergeCell ref="A70:B70"/>
    <mergeCell ref="H70:K70"/>
    <mergeCell ref="A71:B71"/>
    <mergeCell ref="H71:K71"/>
    <mergeCell ref="A72:B72"/>
    <mergeCell ref="H72:K72"/>
    <mergeCell ref="A67:B67"/>
    <mergeCell ref="H67:K67"/>
    <mergeCell ref="A68:B68"/>
    <mergeCell ref="H68:K68"/>
    <mergeCell ref="A69:B69"/>
    <mergeCell ref="H69:K69"/>
    <mergeCell ref="A76:B76"/>
    <mergeCell ref="H76:K76"/>
    <mergeCell ref="A77:B77"/>
    <mergeCell ref="H77:K77"/>
    <mergeCell ref="A78:B78"/>
    <mergeCell ref="H78:K78"/>
    <mergeCell ref="A73:B73"/>
    <mergeCell ref="H73:K73"/>
    <mergeCell ref="A74:B74"/>
    <mergeCell ref="H74:K74"/>
    <mergeCell ref="A75:B75"/>
    <mergeCell ref="H75:K75"/>
    <mergeCell ref="A82:B82"/>
    <mergeCell ref="H82:K82"/>
    <mergeCell ref="A83:B83"/>
    <mergeCell ref="H83:K83"/>
    <mergeCell ref="A84:B84"/>
    <mergeCell ref="H84:K84"/>
    <mergeCell ref="A79:B79"/>
    <mergeCell ref="H79:K79"/>
    <mergeCell ref="A80:B80"/>
    <mergeCell ref="H80:K80"/>
    <mergeCell ref="A81:B81"/>
    <mergeCell ref="H81:K81"/>
    <mergeCell ref="A88:B88"/>
    <mergeCell ref="H88:K88"/>
    <mergeCell ref="A89:B89"/>
    <mergeCell ref="H89:K89"/>
    <mergeCell ref="A90:B90"/>
    <mergeCell ref="H90:K90"/>
    <mergeCell ref="A85:B85"/>
    <mergeCell ref="H85:K85"/>
    <mergeCell ref="A86:B86"/>
    <mergeCell ref="H86:K86"/>
    <mergeCell ref="A87:B87"/>
    <mergeCell ref="H87:K87"/>
    <mergeCell ref="A94:B94"/>
    <mergeCell ref="H94:K94"/>
    <mergeCell ref="A95:B95"/>
    <mergeCell ref="H95:K95"/>
    <mergeCell ref="A96:B96"/>
    <mergeCell ref="H96:K96"/>
    <mergeCell ref="A91:B91"/>
    <mergeCell ref="H91:K91"/>
    <mergeCell ref="A92:B92"/>
    <mergeCell ref="H92:K92"/>
    <mergeCell ref="A93:B93"/>
    <mergeCell ref="H93:K93"/>
    <mergeCell ref="A100:B100"/>
    <mergeCell ref="H100:K100"/>
    <mergeCell ref="A101:B101"/>
    <mergeCell ref="H101:K101"/>
    <mergeCell ref="A102:B102"/>
    <mergeCell ref="H102:K102"/>
    <mergeCell ref="A97:B97"/>
    <mergeCell ref="H97:K97"/>
    <mergeCell ref="A98:B98"/>
    <mergeCell ref="H98:K98"/>
    <mergeCell ref="A99:B99"/>
    <mergeCell ref="H99:K99"/>
    <mergeCell ref="A106:B106"/>
    <mergeCell ref="H106:K106"/>
    <mergeCell ref="A107:B107"/>
    <mergeCell ref="H107:K107"/>
    <mergeCell ref="A108:B108"/>
    <mergeCell ref="H108:K108"/>
    <mergeCell ref="A103:B103"/>
    <mergeCell ref="H103:K103"/>
    <mergeCell ref="A104:B104"/>
    <mergeCell ref="H104:K104"/>
    <mergeCell ref="A105:B105"/>
    <mergeCell ref="H105:K105"/>
    <mergeCell ref="A112:B112"/>
    <mergeCell ref="H112:K112"/>
    <mergeCell ref="A113:B113"/>
    <mergeCell ref="H113:K113"/>
    <mergeCell ref="A114:B114"/>
    <mergeCell ref="H114:K114"/>
    <mergeCell ref="A109:B109"/>
    <mergeCell ref="H109:K109"/>
    <mergeCell ref="A110:B110"/>
    <mergeCell ref="H110:K110"/>
    <mergeCell ref="A111:B111"/>
    <mergeCell ref="H111:K111"/>
    <mergeCell ref="A118:B118"/>
    <mergeCell ref="H118:K118"/>
    <mergeCell ref="A119:B119"/>
    <mergeCell ref="H119:K119"/>
    <mergeCell ref="A120:B120"/>
    <mergeCell ref="H120:K120"/>
    <mergeCell ref="A115:B115"/>
    <mergeCell ref="H115:K115"/>
    <mergeCell ref="A116:B116"/>
    <mergeCell ref="H116:K116"/>
    <mergeCell ref="A117:B117"/>
    <mergeCell ref="H117:K117"/>
    <mergeCell ref="A124:B124"/>
    <mergeCell ref="H124:K124"/>
    <mergeCell ref="A125:B125"/>
    <mergeCell ref="H125:K125"/>
    <mergeCell ref="A126:B126"/>
    <mergeCell ref="H126:K126"/>
    <mergeCell ref="A121:B121"/>
    <mergeCell ref="H121:K121"/>
    <mergeCell ref="A122:B122"/>
    <mergeCell ref="H122:K122"/>
    <mergeCell ref="A123:B123"/>
    <mergeCell ref="H123:K123"/>
    <mergeCell ref="A130:B130"/>
    <mergeCell ref="H130:K130"/>
    <mergeCell ref="A131:B131"/>
    <mergeCell ref="H131:K131"/>
    <mergeCell ref="A132:B132"/>
    <mergeCell ref="H132:K132"/>
    <mergeCell ref="A127:B127"/>
    <mergeCell ref="H127:K127"/>
    <mergeCell ref="A128:B128"/>
    <mergeCell ref="H128:K128"/>
    <mergeCell ref="A129:B129"/>
    <mergeCell ref="H129:K129"/>
    <mergeCell ref="A136:B136"/>
    <mergeCell ref="H136:K136"/>
    <mergeCell ref="A137:B137"/>
    <mergeCell ref="H137:K137"/>
    <mergeCell ref="A138:B138"/>
    <mergeCell ref="H138:K138"/>
    <mergeCell ref="A133:B133"/>
    <mergeCell ref="H133:K133"/>
    <mergeCell ref="A134:B134"/>
    <mergeCell ref="H134:K134"/>
    <mergeCell ref="A135:B135"/>
    <mergeCell ref="H135:K135"/>
    <mergeCell ref="A142:B142"/>
    <mergeCell ref="H142:K142"/>
    <mergeCell ref="A143:B143"/>
    <mergeCell ref="H143:K143"/>
    <mergeCell ref="A144:B144"/>
    <mergeCell ref="H144:K144"/>
    <mergeCell ref="A139:B139"/>
    <mergeCell ref="H139:K139"/>
    <mergeCell ref="A140:B140"/>
    <mergeCell ref="H140:K140"/>
    <mergeCell ref="A141:B141"/>
    <mergeCell ref="H141:K141"/>
    <mergeCell ref="A148:B148"/>
    <mergeCell ref="H148:K148"/>
    <mergeCell ref="A149:B149"/>
    <mergeCell ref="H149:K149"/>
    <mergeCell ref="A150:B150"/>
    <mergeCell ref="H150:K150"/>
    <mergeCell ref="A145:B145"/>
    <mergeCell ref="H145:K145"/>
    <mergeCell ref="A146:B146"/>
    <mergeCell ref="H146:K146"/>
    <mergeCell ref="A147:B147"/>
    <mergeCell ref="H147:K147"/>
    <mergeCell ref="A154:B154"/>
    <mergeCell ref="H154:K154"/>
    <mergeCell ref="A155:B155"/>
    <mergeCell ref="H155:K155"/>
    <mergeCell ref="A156:B156"/>
    <mergeCell ref="H156:K156"/>
    <mergeCell ref="A151:B151"/>
    <mergeCell ref="H151:K151"/>
    <mergeCell ref="A152:B152"/>
    <mergeCell ref="H152:K152"/>
    <mergeCell ref="A153:B153"/>
    <mergeCell ref="H153:K153"/>
    <mergeCell ref="A160:B160"/>
    <mergeCell ref="H160:K160"/>
    <mergeCell ref="A161:B161"/>
    <mergeCell ref="H161:K161"/>
    <mergeCell ref="A162:B162"/>
    <mergeCell ref="H162:K162"/>
    <mergeCell ref="A157:B157"/>
    <mergeCell ref="H157:K157"/>
    <mergeCell ref="A158:B158"/>
    <mergeCell ref="H158:K158"/>
    <mergeCell ref="A159:B159"/>
    <mergeCell ref="H159:K159"/>
    <mergeCell ref="A164:B164"/>
    <mergeCell ref="H164:K164"/>
    <mergeCell ref="A165:B165"/>
    <mergeCell ref="H165:K165"/>
    <mergeCell ref="H177:K177"/>
    <mergeCell ref="A172:B172"/>
    <mergeCell ref="H172:K172"/>
    <mergeCell ref="A173:B173"/>
    <mergeCell ref="H173:K173"/>
    <mergeCell ref="A174:B174"/>
    <mergeCell ref="H174:K174"/>
    <mergeCell ref="A169:B169"/>
    <mergeCell ref="H169:K169"/>
    <mergeCell ref="A170:B170"/>
    <mergeCell ref="H170:K170"/>
    <mergeCell ref="A171:B171"/>
    <mergeCell ref="H171:K171"/>
    <mergeCell ref="L1:N1"/>
    <mergeCell ref="A184:B184"/>
    <mergeCell ref="H184:K184"/>
    <mergeCell ref="A185:B185"/>
    <mergeCell ref="H185:K185"/>
    <mergeCell ref="A186:B186"/>
    <mergeCell ref="H186:K186"/>
    <mergeCell ref="A181:B181"/>
    <mergeCell ref="H181:K181"/>
    <mergeCell ref="A182:B182"/>
    <mergeCell ref="H182:K182"/>
    <mergeCell ref="A183:B183"/>
    <mergeCell ref="H183:K183"/>
    <mergeCell ref="A178:B178"/>
    <mergeCell ref="H178:K178"/>
    <mergeCell ref="A179:B179"/>
    <mergeCell ref="H179:K179"/>
    <mergeCell ref="A180:B180"/>
    <mergeCell ref="H180:K180"/>
    <mergeCell ref="A175:B175"/>
    <mergeCell ref="H175:K175"/>
    <mergeCell ref="A176:B176"/>
    <mergeCell ref="H176:K176"/>
    <mergeCell ref="A177:B177"/>
    <mergeCell ref="A166:B166"/>
    <mergeCell ref="H166:K166"/>
    <mergeCell ref="A167:B167"/>
    <mergeCell ref="H167:K167"/>
    <mergeCell ref="A168:B168"/>
    <mergeCell ref="H168:K168"/>
    <mergeCell ref="A163:B163"/>
    <mergeCell ref="H163:K163"/>
    <mergeCell ref="A193:B193"/>
    <mergeCell ref="A194:B194"/>
    <mergeCell ref="A195:B195"/>
    <mergeCell ref="A190:B190"/>
    <mergeCell ref="A191:B191"/>
    <mergeCell ref="A192:B192"/>
    <mergeCell ref="A187:B187"/>
    <mergeCell ref="A188:B188"/>
    <mergeCell ref="A189:B189"/>
    <mergeCell ref="A202:B202"/>
    <mergeCell ref="A203:B203"/>
    <mergeCell ref="A204:B204"/>
    <mergeCell ref="A199:B199"/>
    <mergeCell ref="A200:B200"/>
    <mergeCell ref="A201:B201"/>
    <mergeCell ref="A196:B196"/>
    <mergeCell ref="A197:B197"/>
    <mergeCell ref="A198:B198"/>
    <mergeCell ref="A208:B208"/>
    <mergeCell ref="A209:B209"/>
    <mergeCell ref="A210:B210"/>
    <mergeCell ref="H208:K208"/>
    <mergeCell ref="H209:K209"/>
    <mergeCell ref="H210:K210"/>
    <mergeCell ref="A205:B205"/>
    <mergeCell ref="A206:B206"/>
    <mergeCell ref="A207:B207"/>
    <mergeCell ref="H205:K205"/>
    <mergeCell ref="H206:K206"/>
    <mergeCell ref="H207:K207"/>
    <mergeCell ref="A214:B214"/>
    <mergeCell ref="A215:B215"/>
    <mergeCell ref="A216:B216"/>
    <mergeCell ref="H214:K214"/>
    <mergeCell ref="H215:K215"/>
    <mergeCell ref="H216:K216"/>
    <mergeCell ref="A211:B211"/>
    <mergeCell ref="A212:B212"/>
    <mergeCell ref="A213:B213"/>
    <mergeCell ref="H211:K211"/>
    <mergeCell ref="H212:K212"/>
    <mergeCell ref="H213:K213"/>
    <mergeCell ref="A220:B220"/>
    <mergeCell ref="A221:B221"/>
    <mergeCell ref="A222:B222"/>
    <mergeCell ref="H220:K220"/>
    <mergeCell ref="H221:K221"/>
    <mergeCell ref="H222:K222"/>
    <mergeCell ref="A217:B217"/>
    <mergeCell ref="A218:B218"/>
    <mergeCell ref="A219:B219"/>
    <mergeCell ref="H217:K217"/>
    <mergeCell ref="H218:K218"/>
    <mergeCell ref="H219:K219"/>
    <mergeCell ref="A226:B226"/>
    <mergeCell ref="A227:B227"/>
    <mergeCell ref="A228:B228"/>
    <mergeCell ref="H226:K226"/>
    <mergeCell ref="H227:K227"/>
    <mergeCell ref="H228:K228"/>
    <mergeCell ref="A223:B223"/>
    <mergeCell ref="A224:B224"/>
    <mergeCell ref="A225:B225"/>
    <mergeCell ref="H223:K223"/>
    <mergeCell ref="H224:K224"/>
    <mergeCell ref="H225:K225"/>
    <mergeCell ref="A232:B232"/>
    <mergeCell ref="A233:B233"/>
    <mergeCell ref="A234:B234"/>
    <mergeCell ref="H232:K232"/>
    <mergeCell ref="H233:K233"/>
    <mergeCell ref="H234:K234"/>
    <mergeCell ref="A229:B229"/>
    <mergeCell ref="A230:B230"/>
    <mergeCell ref="A231:B231"/>
    <mergeCell ref="H229:K229"/>
    <mergeCell ref="H230:K230"/>
    <mergeCell ref="H231:K231"/>
    <mergeCell ref="A238:B238"/>
    <mergeCell ref="A239:B239"/>
    <mergeCell ref="A240:B240"/>
    <mergeCell ref="H238:K238"/>
    <mergeCell ref="H239:K239"/>
    <mergeCell ref="H240:K240"/>
    <mergeCell ref="A235:B235"/>
    <mergeCell ref="A236:B236"/>
    <mergeCell ref="A237:B237"/>
    <mergeCell ref="H235:K235"/>
    <mergeCell ref="H236:K236"/>
    <mergeCell ref="H237:K237"/>
    <mergeCell ref="A244:B244"/>
    <mergeCell ref="A245:B245"/>
    <mergeCell ref="A246:B246"/>
    <mergeCell ref="H244:K244"/>
    <mergeCell ref="H245:K245"/>
    <mergeCell ref="H246:K246"/>
    <mergeCell ref="A241:B241"/>
    <mergeCell ref="A242:B242"/>
    <mergeCell ref="A243:B243"/>
    <mergeCell ref="H241:K241"/>
    <mergeCell ref="H242:K242"/>
    <mergeCell ref="H243:K243"/>
    <mergeCell ref="A250:B250"/>
    <mergeCell ref="A251:B251"/>
    <mergeCell ref="A252:B252"/>
    <mergeCell ref="H250:K250"/>
    <mergeCell ref="H251:K251"/>
    <mergeCell ref="H252:K252"/>
    <mergeCell ref="A247:B247"/>
    <mergeCell ref="A248:B248"/>
    <mergeCell ref="A249:B249"/>
    <mergeCell ref="H247:K247"/>
    <mergeCell ref="H248:K248"/>
    <mergeCell ref="H249:K249"/>
    <mergeCell ref="A256:B256"/>
    <mergeCell ref="A257:B257"/>
    <mergeCell ref="A258:B258"/>
    <mergeCell ref="H256:K256"/>
    <mergeCell ref="H257:K257"/>
    <mergeCell ref="H258:K258"/>
    <mergeCell ref="A253:B253"/>
    <mergeCell ref="A254:B254"/>
    <mergeCell ref="A255:B255"/>
    <mergeCell ref="H253:K253"/>
    <mergeCell ref="H254:K254"/>
    <mergeCell ref="H255:K255"/>
    <mergeCell ref="A262:B262"/>
    <mergeCell ref="A263:B263"/>
    <mergeCell ref="A264:B264"/>
    <mergeCell ref="H262:K262"/>
    <mergeCell ref="H263:K263"/>
    <mergeCell ref="H264:K264"/>
    <mergeCell ref="A259:B259"/>
    <mergeCell ref="A260:B260"/>
    <mergeCell ref="A261:B261"/>
    <mergeCell ref="H259:K259"/>
    <mergeCell ref="H260:K260"/>
    <mergeCell ref="H261:K261"/>
    <mergeCell ref="A268:B268"/>
    <mergeCell ref="A269:B269"/>
    <mergeCell ref="A270:B270"/>
    <mergeCell ref="H268:K268"/>
    <mergeCell ref="H269:K269"/>
    <mergeCell ref="H270:K270"/>
    <mergeCell ref="A265:B265"/>
    <mergeCell ref="A266:B266"/>
    <mergeCell ref="A267:B267"/>
    <mergeCell ref="H265:K265"/>
    <mergeCell ref="H266:K266"/>
    <mergeCell ref="H267:K267"/>
    <mergeCell ref="A274:B274"/>
    <mergeCell ref="A275:B275"/>
    <mergeCell ref="A276:B276"/>
    <mergeCell ref="H274:K274"/>
    <mergeCell ref="H275:K275"/>
    <mergeCell ref="H276:K276"/>
    <mergeCell ref="A271:B271"/>
    <mergeCell ref="A272:B272"/>
    <mergeCell ref="A273:B273"/>
    <mergeCell ref="H271:K271"/>
    <mergeCell ref="H272:K272"/>
    <mergeCell ref="H273:K273"/>
    <mergeCell ref="A277:B277"/>
    <mergeCell ref="A278:B278"/>
    <mergeCell ref="A279:B279"/>
    <mergeCell ref="H277:K277"/>
    <mergeCell ref="H278:K278"/>
    <mergeCell ref="H279:K279"/>
    <mergeCell ref="A286:B286"/>
    <mergeCell ref="A287:B287"/>
    <mergeCell ref="A288:B288"/>
    <mergeCell ref="H286:K286"/>
    <mergeCell ref="H287:K287"/>
    <mergeCell ref="H288:K288"/>
    <mergeCell ref="A283:B283"/>
    <mergeCell ref="A284:B284"/>
    <mergeCell ref="A285:B285"/>
    <mergeCell ref="H283:K283"/>
    <mergeCell ref="H284:K284"/>
    <mergeCell ref="H285:K285"/>
    <mergeCell ref="A291:B291"/>
    <mergeCell ref="H289:K289"/>
    <mergeCell ref="H290:K290"/>
    <mergeCell ref="H291:K291"/>
    <mergeCell ref="A300:B300"/>
    <mergeCell ref="H298:K298"/>
    <mergeCell ref="H299:K299"/>
    <mergeCell ref="H300:K300"/>
    <mergeCell ref="A295:B295"/>
    <mergeCell ref="A296:B296"/>
    <mergeCell ref="A297:B297"/>
    <mergeCell ref="H295:K295"/>
    <mergeCell ref="H296:K296"/>
    <mergeCell ref="H297:K297"/>
    <mergeCell ref="A280:B280"/>
    <mergeCell ref="A281:B281"/>
    <mergeCell ref="A282:B282"/>
    <mergeCell ref="H280:K280"/>
    <mergeCell ref="H281:K281"/>
    <mergeCell ref="H282:K282"/>
    <mergeCell ref="H301:K301"/>
    <mergeCell ref="H302:K302"/>
    <mergeCell ref="A301:B301"/>
    <mergeCell ref="A302:B302"/>
    <mergeCell ref="H187:K187"/>
    <mergeCell ref="H188:K188"/>
    <mergeCell ref="H189:K189"/>
    <mergeCell ref="H190:K190"/>
    <mergeCell ref="H191:K191"/>
    <mergeCell ref="H192:K192"/>
    <mergeCell ref="H193:K193"/>
    <mergeCell ref="H194:K194"/>
    <mergeCell ref="H195:K195"/>
    <mergeCell ref="H196:K196"/>
    <mergeCell ref="H197:K197"/>
    <mergeCell ref="H198:K198"/>
    <mergeCell ref="H199:K199"/>
    <mergeCell ref="H200:K200"/>
    <mergeCell ref="H201:K201"/>
    <mergeCell ref="H202:K202"/>
    <mergeCell ref="H203:K203"/>
    <mergeCell ref="H204:K204"/>
    <mergeCell ref="A298:B298"/>
    <mergeCell ref="A299:B299"/>
    <mergeCell ref="A292:B292"/>
    <mergeCell ref="A293:B293"/>
    <mergeCell ref="A294:B294"/>
    <mergeCell ref="H292:K292"/>
    <mergeCell ref="H293:K293"/>
    <mergeCell ref="H294:K294"/>
    <mergeCell ref="A289:B289"/>
    <mergeCell ref="A290:B290"/>
    <mergeCell ref="A333:B333"/>
    <mergeCell ref="H333:K333"/>
    <mergeCell ref="A334:B334"/>
    <mergeCell ref="H334:K334"/>
    <mergeCell ref="A335:B335"/>
    <mergeCell ref="H335:K335"/>
    <mergeCell ref="A336:B336"/>
    <mergeCell ref="H336:K336"/>
    <mergeCell ref="A337:B337"/>
    <mergeCell ref="H337:K337"/>
    <mergeCell ref="A338:B338"/>
    <mergeCell ref="H338:K338"/>
    <mergeCell ref="A339:B339"/>
    <mergeCell ref="H339:K339"/>
    <mergeCell ref="A340:B340"/>
    <mergeCell ref="H340:K340"/>
    <mergeCell ref="A341:B341"/>
    <mergeCell ref="H341:K341"/>
    <mergeCell ref="A342:B342"/>
    <mergeCell ref="H342:K342"/>
    <mergeCell ref="A343:B343"/>
    <mergeCell ref="H343:K343"/>
    <mergeCell ref="A344:B344"/>
    <mergeCell ref="H344:K344"/>
    <mergeCell ref="A345:B345"/>
    <mergeCell ref="H345:K345"/>
    <mergeCell ref="A346:B346"/>
    <mergeCell ref="H346:K346"/>
    <mergeCell ref="A347:B347"/>
    <mergeCell ref="H347:K347"/>
    <mergeCell ref="A348:B348"/>
    <mergeCell ref="H348:K348"/>
    <mergeCell ref="A349:B349"/>
    <mergeCell ref="H349:K349"/>
    <mergeCell ref="A350:B350"/>
    <mergeCell ref="H350:K350"/>
    <mergeCell ref="A351:B351"/>
    <mergeCell ref="H351:K351"/>
    <mergeCell ref="A352:B352"/>
    <mergeCell ref="H352:K352"/>
    <mergeCell ref="A353:B353"/>
    <mergeCell ref="H353:K353"/>
    <mergeCell ref="A354:B354"/>
    <mergeCell ref="H354:K354"/>
    <mergeCell ref="A355:B355"/>
    <mergeCell ref="H355:K355"/>
    <mergeCell ref="A356:B356"/>
    <mergeCell ref="H356:K356"/>
    <mergeCell ref="A357:B357"/>
    <mergeCell ref="H357:K357"/>
    <mergeCell ref="A358:B358"/>
    <mergeCell ref="H358:K358"/>
    <mergeCell ref="A359:B359"/>
    <mergeCell ref="H359:K359"/>
    <mergeCell ref="A360:B360"/>
    <mergeCell ref="H360:K360"/>
    <mergeCell ref="A361:B361"/>
    <mergeCell ref="H361:K361"/>
    <mergeCell ref="A362:B362"/>
    <mergeCell ref="H362:K362"/>
    <mergeCell ref="A363:B363"/>
    <mergeCell ref="H363:K363"/>
    <mergeCell ref="A364:B364"/>
    <mergeCell ref="H364:K364"/>
    <mergeCell ref="A365:B365"/>
    <mergeCell ref="H365:K365"/>
    <mergeCell ref="A366:B366"/>
    <mergeCell ref="H366:K366"/>
    <mergeCell ref="A367:B367"/>
    <mergeCell ref="H367:K367"/>
    <mergeCell ref="A368:B368"/>
    <mergeCell ref="H368:K368"/>
    <mergeCell ref="A369:B369"/>
    <mergeCell ref="H369:K369"/>
    <mergeCell ref="A370:B370"/>
    <mergeCell ref="H370:K370"/>
    <mergeCell ref="A371:B371"/>
    <mergeCell ref="H371:K371"/>
    <mergeCell ref="A372:B372"/>
    <mergeCell ref="H372:K372"/>
    <mergeCell ref="A373:B373"/>
    <mergeCell ref="H373:K373"/>
    <mergeCell ref="A374:B374"/>
    <mergeCell ref="H374:K374"/>
    <mergeCell ref="A375:B375"/>
    <mergeCell ref="H375:K375"/>
    <mergeCell ref="A376:B376"/>
    <mergeCell ref="H376:K376"/>
    <mergeCell ref="A377:B377"/>
    <mergeCell ref="H377:K377"/>
    <mergeCell ref="A378:B378"/>
    <mergeCell ref="H378:K378"/>
    <mergeCell ref="A379:B379"/>
    <mergeCell ref="H379:K379"/>
    <mergeCell ref="A380:B380"/>
    <mergeCell ref="H380:K380"/>
    <mergeCell ref="A381:B381"/>
    <mergeCell ref="H381:K381"/>
    <mergeCell ref="A382:B382"/>
    <mergeCell ref="H382:K382"/>
    <mergeCell ref="A383:B383"/>
    <mergeCell ref="H383:K383"/>
    <mergeCell ref="A384:B384"/>
    <mergeCell ref="H384:K384"/>
    <mergeCell ref="A385:B385"/>
    <mergeCell ref="H385:K385"/>
    <mergeCell ref="A386:B386"/>
    <mergeCell ref="H386:K386"/>
    <mergeCell ref="A387:B387"/>
    <mergeCell ref="H387:K387"/>
    <mergeCell ref="A388:B388"/>
    <mergeCell ref="H388:K388"/>
    <mergeCell ref="A389:B389"/>
    <mergeCell ref="H389:K389"/>
    <mergeCell ref="A390:B390"/>
    <mergeCell ref="H390:K390"/>
    <mergeCell ref="A391:B391"/>
    <mergeCell ref="H391:K391"/>
    <mergeCell ref="A392:B392"/>
    <mergeCell ref="H392:K392"/>
    <mergeCell ref="A393:B393"/>
    <mergeCell ref="H393:K393"/>
    <mergeCell ref="A394:B394"/>
    <mergeCell ref="H394:K394"/>
    <mergeCell ref="A395:B395"/>
    <mergeCell ref="H395:K395"/>
    <mergeCell ref="A396:B396"/>
    <mergeCell ref="H396:K396"/>
    <mergeCell ref="A397:B397"/>
    <mergeCell ref="H397:K397"/>
    <mergeCell ref="A403:B403"/>
    <mergeCell ref="H403:K403"/>
    <mergeCell ref="A404:B404"/>
    <mergeCell ref="H404:K404"/>
    <mergeCell ref="A398:B398"/>
    <mergeCell ref="H398:K398"/>
    <mergeCell ref="A399:B399"/>
    <mergeCell ref="H399:K399"/>
    <mergeCell ref="A400:B400"/>
    <mergeCell ref="H400:K400"/>
    <mergeCell ref="A401:B401"/>
    <mergeCell ref="H401:K401"/>
    <mergeCell ref="A402:B402"/>
    <mergeCell ref="H402:K402"/>
    <mergeCell ref="A603:B603"/>
    <mergeCell ref="H603:K603"/>
    <mergeCell ref="A604:B604"/>
    <mergeCell ref="H604:K604"/>
    <mergeCell ref="A605:B605"/>
    <mergeCell ref="H605:K605"/>
    <mergeCell ref="A606:B606"/>
    <mergeCell ref="H606:K606"/>
    <mergeCell ref="A607:B607"/>
    <mergeCell ref="H607:K607"/>
    <mergeCell ref="A608:B608"/>
    <mergeCell ref="H608:K608"/>
    <mergeCell ref="A609:B609"/>
    <mergeCell ref="H609:K609"/>
    <mergeCell ref="A610:B610"/>
    <mergeCell ref="H610:K610"/>
    <mergeCell ref="A611:B611"/>
    <mergeCell ref="H611:K611"/>
    <mergeCell ref="A612:B612"/>
    <mergeCell ref="H612:K612"/>
    <mergeCell ref="A613:B613"/>
    <mergeCell ref="H613:K613"/>
    <mergeCell ref="A614:B614"/>
    <mergeCell ref="H614:K614"/>
    <mergeCell ref="A615:B615"/>
    <mergeCell ref="H615:K615"/>
    <mergeCell ref="A616:B616"/>
    <mergeCell ref="H616:K616"/>
    <mergeCell ref="A617:B617"/>
    <mergeCell ref="H617:K617"/>
    <mergeCell ref="A618:B618"/>
    <mergeCell ref="H618:K618"/>
    <mergeCell ref="A619:B619"/>
    <mergeCell ref="H619:K619"/>
    <mergeCell ref="A620:B620"/>
    <mergeCell ref="H620:K620"/>
    <mergeCell ref="A621:B621"/>
    <mergeCell ref="H621:K621"/>
    <mergeCell ref="A622:B622"/>
    <mergeCell ref="H622:K622"/>
    <mergeCell ref="A623:B623"/>
    <mergeCell ref="H623:K623"/>
    <mergeCell ref="A624:B624"/>
    <mergeCell ref="H624:K624"/>
    <mergeCell ref="A625:B625"/>
    <mergeCell ref="H625:K625"/>
    <mergeCell ref="A626:B626"/>
    <mergeCell ref="H626:K626"/>
    <mergeCell ref="A627:B627"/>
    <mergeCell ref="H627:K627"/>
    <mergeCell ref="A628:B628"/>
    <mergeCell ref="H628:K628"/>
    <mergeCell ref="A629:B629"/>
    <mergeCell ref="H629:K629"/>
    <mergeCell ref="A630:B630"/>
    <mergeCell ref="H630:K630"/>
    <mergeCell ref="A631:B631"/>
    <mergeCell ref="H631:K631"/>
    <mergeCell ref="A632:B632"/>
    <mergeCell ref="H632:K632"/>
    <mergeCell ref="A633:B633"/>
    <mergeCell ref="H633:K633"/>
    <mergeCell ref="A634:B634"/>
    <mergeCell ref="H634:K634"/>
    <mergeCell ref="A635:B635"/>
    <mergeCell ref="H635:K635"/>
    <mergeCell ref="A636:B636"/>
    <mergeCell ref="H636:K636"/>
    <mergeCell ref="A637:B637"/>
    <mergeCell ref="H637:K637"/>
    <mergeCell ref="A638:B638"/>
    <mergeCell ref="H638:K638"/>
    <mergeCell ref="A639:B639"/>
    <mergeCell ref="H639:K639"/>
    <mergeCell ref="A640:B640"/>
    <mergeCell ref="H640:K640"/>
    <mergeCell ref="A641:B641"/>
    <mergeCell ref="H641:K641"/>
    <mergeCell ref="A642:B642"/>
    <mergeCell ref="H642:K642"/>
    <mergeCell ref="A643:B643"/>
    <mergeCell ref="H643:K643"/>
    <mergeCell ref="A644:B644"/>
    <mergeCell ref="H644:K644"/>
    <mergeCell ref="A645:B645"/>
    <mergeCell ref="H645:K645"/>
    <mergeCell ref="A646:B646"/>
    <mergeCell ref="H646:K646"/>
    <mergeCell ref="A647:B647"/>
    <mergeCell ref="H647:K647"/>
    <mergeCell ref="A648:B648"/>
    <mergeCell ref="H648:K648"/>
    <mergeCell ref="A649:B649"/>
    <mergeCell ref="H649:K649"/>
    <mergeCell ref="A650:B650"/>
    <mergeCell ref="H650:K650"/>
    <mergeCell ref="A651:B651"/>
    <mergeCell ref="H651:K651"/>
    <mergeCell ref="A652:B652"/>
    <mergeCell ref="H652:K652"/>
    <mergeCell ref="A653:B653"/>
    <mergeCell ref="H653:K653"/>
    <mergeCell ref="A654:B654"/>
    <mergeCell ref="H654:K654"/>
    <mergeCell ref="A655:B655"/>
    <mergeCell ref="H655:K655"/>
    <mergeCell ref="A656:B656"/>
    <mergeCell ref="H656:K656"/>
    <mergeCell ref="A657:B657"/>
    <mergeCell ref="H657:K657"/>
    <mergeCell ref="A658:B658"/>
    <mergeCell ref="H658:K658"/>
    <mergeCell ref="A659:B659"/>
    <mergeCell ref="H659:K659"/>
    <mergeCell ref="A660:B660"/>
    <mergeCell ref="H660:K660"/>
    <mergeCell ref="A661:B661"/>
    <mergeCell ref="H661:K661"/>
    <mergeCell ref="A662:B662"/>
    <mergeCell ref="H662:K662"/>
    <mergeCell ref="A663:B663"/>
    <mergeCell ref="H663:K663"/>
    <mergeCell ref="A664:B664"/>
    <mergeCell ref="H664:K664"/>
    <mergeCell ref="A665:B665"/>
    <mergeCell ref="H665:K665"/>
    <mergeCell ref="A666:B666"/>
    <mergeCell ref="H666:K666"/>
    <mergeCell ref="A667:B667"/>
    <mergeCell ref="H667:K667"/>
    <mergeCell ref="A668:B668"/>
    <mergeCell ref="H668:K668"/>
    <mergeCell ref="A669:B669"/>
    <mergeCell ref="H669:K669"/>
    <mergeCell ref="A670:B670"/>
    <mergeCell ref="H670:K670"/>
    <mergeCell ref="A671:B671"/>
    <mergeCell ref="H671:K671"/>
    <mergeCell ref="A672:B672"/>
    <mergeCell ref="H672:K672"/>
    <mergeCell ref="A673:B673"/>
    <mergeCell ref="H673:K673"/>
    <mergeCell ref="A674:B674"/>
    <mergeCell ref="H674:K674"/>
    <mergeCell ref="A675:B675"/>
    <mergeCell ref="H675:K675"/>
    <mergeCell ref="A676:B676"/>
    <mergeCell ref="H676:K676"/>
    <mergeCell ref="A677:B677"/>
    <mergeCell ref="H677:K677"/>
    <mergeCell ref="A678:B678"/>
    <mergeCell ref="H678:K678"/>
    <mergeCell ref="A679:B679"/>
    <mergeCell ref="H679:K679"/>
    <mergeCell ref="A680:B680"/>
    <mergeCell ref="H680:K680"/>
    <mergeCell ref="A681:B681"/>
    <mergeCell ref="H681:K681"/>
    <mergeCell ref="A682:B682"/>
    <mergeCell ref="H682:K682"/>
    <mergeCell ref="A683:B683"/>
    <mergeCell ref="H683:K683"/>
    <mergeCell ref="A684:B684"/>
    <mergeCell ref="H684:K684"/>
    <mergeCell ref="A685:B685"/>
    <mergeCell ref="H685:K685"/>
    <mergeCell ref="A686:B686"/>
    <mergeCell ref="H686:K686"/>
    <mergeCell ref="A687:B687"/>
    <mergeCell ref="H687:K687"/>
    <mergeCell ref="A688:B688"/>
    <mergeCell ref="H688:K688"/>
    <mergeCell ref="A689:B689"/>
    <mergeCell ref="H689:K689"/>
    <mergeCell ref="A690:B690"/>
    <mergeCell ref="H690:K690"/>
    <mergeCell ref="A691:B691"/>
    <mergeCell ref="H691:K691"/>
    <mergeCell ref="A692:B692"/>
    <mergeCell ref="H692:K692"/>
    <mergeCell ref="A693:B693"/>
    <mergeCell ref="H693:K693"/>
    <mergeCell ref="A694:B694"/>
    <mergeCell ref="H694:K694"/>
    <mergeCell ref="A695:B695"/>
    <mergeCell ref="H695:K695"/>
    <mergeCell ref="A696:B696"/>
    <mergeCell ref="H696:K696"/>
    <mergeCell ref="A697:B697"/>
    <mergeCell ref="H697:K697"/>
    <mergeCell ref="A698:B698"/>
    <mergeCell ref="H698:K698"/>
    <mergeCell ref="A699:B699"/>
    <mergeCell ref="H699:K699"/>
    <mergeCell ref="A700:B700"/>
    <mergeCell ref="H700:K700"/>
    <mergeCell ref="A701:B701"/>
    <mergeCell ref="H701:K701"/>
    <mergeCell ref="A702:B702"/>
    <mergeCell ref="H702:K702"/>
    <mergeCell ref="A703:B703"/>
    <mergeCell ref="H703:K703"/>
    <mergeCell ref="A704:B704"/>
    <mergeCell ref="H704:K704"/>
    <mergeCell ref="A705:B705"/>
    <mergeCell ref="H705:K705"/>
    <mergeCell ref="A706:B706"/>
    <mergeCell ref="H706:K706"/>
    <mergeCell ref="A707:B707"/>
    <mergeCell ref="H707:K707"/>
    <mergeCell ref="A708:B708"/>
    <mergeCell ref="H708:K708"/>
    <mergeCell ref="A709:B709"/>
    <mergeCell ref="H709:K709"/>
    <mergeCell ref="A710:B710"/>
    <mergeCell ref="H710:K710"/>
    <mergeCell ref="A711:B711"/>
    <mergeCell ref="H711:K711"/>
    <mergeCell ref="A712:B712"/>
    <mergeCell ref="H712:K712"/>
    <mergeCell ref="A713:B713"/>
    <mergeCell ref="H713:K713"/>
    <mergeCell ref="A714:B714"/>
    <mergeCell ref="H714:K714"/>
    <mergeCell ref="A715:B715"/>
    <mergeCell ref="H715:K715"/>
    <mergeCell ref="A716:B716"/>
    <mergeCell ref="H716:K716"/>
    <mergeCell ref="A717:B717"/>
    <mergeCell ref="H717:K717"/>
    <mergeCell ref="A718:B718"/>
    <mergeCell ref="H718:K718"/>
    <mergeCell ref="A719:B719"/>
    <mergeCell ref="H719:K719"/>
    <mergeCell ref="A720:B720"/>
    <mergeCell ref="H720:K720"/>
    <mergeCell ref="A721:B721"/>
    <mergeCell ref="H721:K721"/>
    <mergeCell ref="A722:B722"/>
    <mergeCell ref="H722:K722"/>
    <mergeCell ref="A723:B723"/>
    <mergeCell ref="H723:K723"/>
    <mergeCell ref="A724:B724"/>
    <mergeCell ref="H724:K724"/>
    <mergeCell ref="A725:B725"/>
    <mergeCell ref="H725:K725"/>
    <mergeCell ref="A726:B726"/>
    <mergeCell ref="H726:K726"/>
    <mergeCell ref="A727:B727"/>
    <mergeCell ref="H727:K727"/>
    <mergeCell ref="A728:B728"/>
    <mergeCell ref="H728:K728"/>
    <mergeCell ref="A729:B729"/>
    <mergeCell ref="H729:K729"/>
    <mergeCell ref="A730:B730"/>
    <mergeCell ref="H730:K730"/>
    <mergeCell ref="A731:B731"/>
    <mergeCell ref="H731:K731"/>
    <mergeCell ref="A732:B732"/>
    <mergeCell ref="H732:K732"/>
    <mergeCell ref="A733:B733"/>
    <mergeCell ref="H733:K733"/>
    <mergeCell ref="A734:B734"/>
    <mergeCell ref="H734:K734"/>
    <mergeCell ref="A735:B735"/>
    <mergeCell ref="H735:K735"/>
    <mergeCell ref="A736:B736"/>
    <mergeCell ref="H736:K736"/>
    <mergeCell ref="A737:B737"/>
    <mergeCell ref="H737:K737"/>
    <mergeCell ref="A738:B738"/>
    <mergeCell ref="H738:K738"/>
    <mergeCell ref="A739:B739"/>
    <mergeCell ref="H739:K739"/>
    <mergeCell ref="A740:B740"/>
    <mergeCell ref="H740:K740"/>
    <mergeCell ref="A741:B741"/>
    <mergeCell ref="H741:K741"/>
    <mergeCell ref="A742:B742"/>
    <mergeCell ref="H742:K742"/>
    <mergeCell ref="A743:B743"/>
    <mergeCell ref="H743:K743"/>
    <mergeCell ref="A744:B744"/>
    <mergeCell ref="H744:K744"/>
    <mergeCell ref="A745:B745"/>
    <mergeCell ref="H745:K745"/>
    <mergeCell ref="A746:B746"/>
    <mergeCell ref="H746:K746"/>
    <mergeCell ref="A747:B747"/>
    <mergeCell ref="H747:K747"/>
    <mergeCell ref="A748:B748"/>
    <mergeCell ref="H748:K748"/>
    <mergeCell ref="A749:B749"/>
    <mergeCell ref="H749:K749"/>
    <mergeCell ref="A750:B750"/>
    <mergeCell ref="H750:K750"/>
    <mergeCell ref="A751:B751"/>
    <mergeCell ref="H751:K751"/>
    <mergeCell ref="A752:B752"/>
    <mergeCell ref="H752:K752"/>
    <mergeCell ref="A753:B753"/>
    <mergeCell ref="H753:K753"/>
    <mergeCell ref="A754:B754"/>
    <mergeCell ref="H754:K754"/>
    <mergeCell ref="A755:B755"/>
    <mergeCell ref="H755:K755"/>
    <mergeCell ref="A765:B765"/>
    <mergeCell ref="H765:K765"/>
    <mergeCell ref="A756:B756"/>
    <mergeCell ref="H756:K756"/>
    <mergeCell ref="A757:B757"/>
    <mergeCell ref="H757:K757"/>
    <mergeCell ref="A758:B758"/>
    <mergeCell ref="H758:K758"/>
    <mergeCell ref="A759:B759"/>
    <mergeCell ref="H759:K759"/>
    <mergeCell ref="A760:B760"/>
    <mergeCell ref="H760:K760"/>
    <mergeCell ref="A761:B761"/>
    <mergeCell ref="H761:K761"/>
    <mergeCell ref="A762:B762"/>
    <mergeCell ref="H762:K762"/>
    <mergeCell ref="A763:B763"/>
    <mergeCell ref="H763:K763"/>
    <mergeCell ref="A764:B764"/>
    <mergeCell ref="H764:K7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762B-1E5D-4D6A-A7AE-3EA1F18AF09E}">
  <dimension ref="A1:M35"/>
  <sheetViews>
    <sheetView workbookViewId="0">
      <selection activeCell="A17" sqref="A17"/>
    </sheetView>
  </sheetViews>
  <sheetFormatPr baseColWidth="10" defaultRowHeight="14.4" x14ac:dyDescent="0.3"/>
  <cols>
    <col min="1" max="1" width="85.88671875" customWidth="1"/>
    <col min="2" max="2" width="20.6640625" customWidth="1"/>
    <col min="3" max="3" width="18.109375" customWidth="1"/>
  </cols>
  <sheetData>
    <row r="1" spans="1:13" x14ac:dyDescent="0.3">
      <c r="A1" t="s">
        <v>167</v>
      </c>
    </row>
    <row r="2" spans="1:13" x14ac:dyDescent="0.3">
      <c r="A2" t="s">
        <v>168</v>
      </c>
    </row>
    <row r="3" spans="1:13" x14ac:dyDescent="0.3">
      <c r="A3" t="s">
        <v>169</v>
      </c>
    </row>
    <row r="5" spans="1:13" ht="15.6" x14ac:dyDescent="0.3">
      <c r="A5" t="s">
        <v>170</v>
      </c>
      <c r="B5" s="7" t="s">
        <v>171</v>
      </c>
      <c r="C5" s="7" t="s">
        <v>172</v>
      </c>
      <c r="D5" s="7" t="s">
        <v>173</v>
      </c>
      <c r="E5" s="7" t="s">
        <v>174</v>
      </c>
      <c r="F5" s="7" t="s">
        <v>175</v>
      </c>
      <c r="G5" s="7" t="s">
        <v>176</v>
      </c>
      <c r="H5" s="7" t="s">
        <v>177</v>
      </c>
      <c r="I5" s="7" t="s">
        <v>178</v>
      </c>
      <c r="J5" s="7" t="s">
        <v>179</v>
      </c>
      <c r="K5" s="7" t="s">
        <v>180</v>
      </c>
      <c r="L5" s="7" t="s">
        <v>181</v>
      </c>
      <c r="M5" s="7" t="s">
        <v>182</v>
      </c>
    </row>
    <row r="6" spans="1:13" x14ac:dyDescent="0.3">
      <c r="A6" t="s">
        <v>183</v>
      </c>
    </row>
    <row r="7" spans="1:13" ht="15.6" x14ac:dyDescent="0.3">
      <c r="A7" t="s">
        <v>184</v>
      </c>
      <c r="B7" s="8">
        <v>10025965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f>SUM(B7:L7)</f>
        <v>10025965</v>
      </c>
    </row>
    <row r="8" spans="1:13" x14ac:dyDescent="0.3">
      <c r="A8" t="s">
        <v>185</v>
      </c>
      <c r="B8" s="9">
        <f>+'[1]FLUJO INGRESOS '!C8</f>
        <v>50854293.000000007</v>
      </c>
      <c r="C8" s="9">
        <f>+'[1]FLUJO INGRESOS '!D8</f>
        <v>52178049</v>
      </c>
      <c r="D8" s="9">
        <f>+'[1]FLUJO INGRESOS '!E8</f>
        <v>55266813</v>
      </c>
      <c r="E8" s="9">
        <f>+'[1]FLUJO INGRESOS '!F8</f>
        <v>59679333.000000007</v>
      </c>
      <c r="F8" s="9">
        <f>+'[1]FLUJO INGRESOS '!G8</f>
        <v>60341211</v>
      </c>
      <c r="G8" s="9">
        <f>+'[1]FLUJO INGRESOS '!H8</f>
        <v>65305296</v>
      </c>
      <c r="H8" s="9">
        <f>+'[1]FLUJO INGRESOS '!I8</f>
        <v>66518739</v>
      </c>
      <c r="I8" s="9">
        <f>+'[1]FLUJO INGRESOS '!J8</f>
        <v>73137519</v>
      </c>
      <c r="J8" s="9">
        <f>+'[1]FLUJO INGRESOS '!K8</f>
        <v>78763482</v>
      </c>
      <c r="K8" s="9">
        <f>+'[1]FLUJO INGRESOS '!L8</f>
        <v>81741933</v>
      </c>
      <c r="L8" s="9">
        <f>+'[1]FLUJO INGRESOS '!M8</f>
        <v>82624437</v>
      </c>
      <c r="M8" s="9">
        <f t="shared" ref="M8:M29" si="0">SUM(B8:L8)</f>
        <v>726411105</v>
      </c>
    </row>
    <row r="9" spans="1:13" x14ac:dyDescent="0.3">
      <c r="A9" t="s">
        <v>186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>
        <f t="shared" si="0"/>
        <v>0</v>
      </c>
    </row>
    <row r="10" spans="1:13" x14ac:dyDescent="0.3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>
        <f t="shared" si="0"/>
        <v>0</v>
      </c>
    </row>
    <row r="11" spans="1:13" x14ac:dyDescent="0.3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>
        <f t="shared" si="0"/>
        <v>0</v>
      </c>
    </row>
    <row r="12" spans="1:13" ht="15.6" x14ac:dyDescent="0.3">
      <c r="A12" s="10" t="s">
        <v>187</v>
      </c>
      <c r="B12" s="11">
        <f t="shared" ref="B12:L12" si="1">SUM(B7:B11)</f>
        <v>60880258.000000007</v>
      </c>
      <c r="C12" s="11">
        <f t="shared" si="1"/>
        <v>52178049</v>
      </c>
      <c r="D12" s="11">
        <f t="shared" si="1"/>
        <v>55266813</v>
      </c>
      <c r="E12" s="11">
        <f t="shared" si="1"/>
        <v>59679333.000000007</v>
      </c>
      <c r="F12" s="11">
        <f t="shared" si="1"/>
        <v>60341211</v>
      </c>
      <c r="G12" s="11">
        <f t="shared" si="1"/>
        <v>65305296</v>
      </c>
      <c r="H12" s="11">
        <f t="shared" si="1"/>
        <v>66518739</v>
      </c>
      <c r="I12" s="11">
        <f t="shared" si="1"/>
        <v>73137519</v>
      </c>
      <c r="J12" s="11">
        <f t="shared" si="1"/>
        <v>78763482</v>
      </c>
      <c r="K12" s="11">
        <f t="shared" si="1"/>
        <v>81741933</v>
      </c>
      <c r="L12" s="11">
        <f t="shared" si="1"/>
        <v>82624437</v>
      </c>
      <c r="M12" s="11">
        <f t="shared" si="0"/>
        <v>736437070</v>
      </c>
    </row>
    <row r="13" spans="1:13" x14ac:dyDescent="0.3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>
        <f t="shared" si="0"/>
        <v>0</v>
      </c>
    </row>
    <row r="14" spans="1:13" x14ac:dyDescent="0.3">
      <c r="A14" t="s">
        <v>188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>
        <f t="shared" si="0"/>
        <v>0</v>
      </c>
    </row>
    <row r="15" spans="1:13" x14ac:dyDescent="0.3">
      <c r="A15" t="s">
        <v>189</v>
      </c>
      <c r="B15" s="9">
        <v>4842222</v>
      </c>
      <c r="C15" s="9">
        <f>+B15</f>
        <v>4842222</v>
      </c>
      <c r="D15" s="9">
        <f t="shared" ref="D15:L15" si="2">+C15</f>
        <v>4842222</v>
      </c>
      <c r="E15" s="9">
        <f t="shared" si="2"/>
        <v>4842222</v>
      </c>
      <c r="F15" s="9">
        <f t="shared" si="2"/>
        <v>4842222</v>
      </c>
      <c r="G15" s="9">
        <f t="shared" si="2"/>
        <v>4842222</v>
      </c>
      <c r="H15" s="9">
        <f t="shared" si="2"/>
        <v>4842222</v>
      </c>
      <c r="I15" s="9">
        <f t="shared" si="2"/>
        <v>4842222</v>
      </c>
      <c r="J15" s="9">
        <f t="shared" si="2"/>
        <v>4842222</v>
      </c>
      <c r="K15" s="9">
        <f t="shared" si="2"/>
        <v>4842222</v>
      </c>
      <c r="L15" s="9">
        <f t="shared" si="2"/>
        <v>4842222</v>
      </c>
      <c r="M15" s="9">
        <f t="shared" si="0"/>
        <v>53264442</v>
      </c>
    </row>
    <row r="16" spans="1:13" x14ac:dyDescent="0.3">
      <c r="A16" t="s">
        <v>190</v>
      </c>
      <c r="B16" s="9">
        <f>+B8*'[1]proveedores_mensuales '!$Q$84</f>
        <v>15256287.900000002</v>
      </c>
      <c r="C16" s="9">
        <f>+C8*'[1]proveedores_mensuales '!$Q$84</f>
        <v>15653414.699999999</v>
      </c>
      <c r="D16" s="9">
        <f>+D8*'[1]proveedores_mensuales '!$Q$84</f>
        <v>16580043.899999999</v>
      </c>
      <c r="E16" s="9">
        <f>+E8*'[1]proveedores_mensuales '!$Q$84</f>
        <v>17903799.900000002</v>
      </c>
      <c r="F16" s="9">
        <f>+F8*'[1]proveedores_mensuales '!$Q$84</f>
        <v>18102363.300000001</v>
      </c>
      <c r="G16" s="9">
        <f>+G8*'[1]proveedores_mensuales '!$Q$84</f>
        <v>19591588.800000001</v>
      </c>
      <c r="H16" s="9">
        <f>+H8*'[1]proveedores_mensuales '!$Q$84</f>
        <v>19955621.699999999</v>
      </c>
      <c r="I16" s="9">
        <f>+I8*'[1]proveedores_mensuales '!$Q$84</f>
        <v>21941255.699999999</v>
      </c>
      <c r="J16" s="9">
        <f>+J8*'[1]proveedores_mensuales '!$Q$84</f>
        <v>23629044.599999998</v>
      </c>
      <c r="K16" s="9">
        <f>+K8*'[1]proveedores_mensuales '!$Q$84</f>
        <v>24522579.899999999</v>
      </c>
      <c r="L16" s="9">
        <f>+L8*'[1]proveedores_mensuales '!$Q$84</f>
        <v>24787331.099999998</v>
      </c>
      <c r="M16" s="9">
        <f t="shared" si="0"/>
        <v>217923331.5</v>
      </c>
    </row>
    <row r="17" spans="1:13" x14ac:dyDescent="0.3">
      <c r="A17" t="s">
        <v>191</v>
      </c>
      <c r="B17" s="9">
        <f>+[1]REMUNERACIONES_PPTO!C4</f>
        <v>14153718</v>
      </c>
      <c r="C17" s="9">
        <f>+[1]REMUNERACIONES_PPTO!C5</f>
        <v>13961718</v>
      </c>
      <c r="D17" s="9">
        <f>+[1]REMUNERACIONES_PPTO!C6</f>
        <v>14057718</v>
      </c>
      <c r="E17" s="9">
        <f>+[1]REMUNERACIONES_PPTO!C7</f>
        <v>14249718</v>
      </c>
      <c r="F17" s="9">
        <f>+[1]REMUNERACIONES_PPTO!C8</f>
        <v>14537718</v>
      </c>
      <c r="G17" s="9">
        <f>+[1]REMUNERACIONES_PPTO!C9</f>
        <v>14537718</v>
      </c>
      <c r="H17" s="9">
        <f>+[1]REMUNERACIONES_PPTO!C10</f>
        <v>14537718</v>
      </c>
      <c r="I17" s="9">
        <f>+[1]REMUNERACIONES_PPTO!C11</f>
        <v>14537718</v>
      </c>
      <c r="J17" s="9">
        <f>+[1]REMUNERACIONES_PPTO!C12</f>
        <v>14537718</v>
      </c>
      <c r="K17" s="9">
        <f>+[1]REMUNERACIONES_PPTO!C13</f>
        <v>14537718</v>
      </c>
      <c r="L17" s="9">
        <f>+[1]REMUNERACIONES_PPTO!C14</f>
        <v>14537718</v>
      </c>
      <c r="M17" s="9">
        <f t="shared" si="0"/>
        <v>158186898</v>
      </c>
    </row>
    <row r="18" spans="1:13" x14ac:dyDescent="0.3">
      <c r="A18" t="s">
        <v>192</v>
      </c>
      <c r="B18" s="9">
        <f>885000+730000</f>
        <v>1615000</v>
      </c>
      <c r="C18" s="9">
        <f>+B18</f>
        <v>1615000</v>
      </c>
      <c r="D18" s="9">
        <f t="shared" ref="D18:L18" si="3">+C18</f>
        <v>1615000</v>
      </c>
      <c r="E18" s="9">
        <f t="shared" si="3"/>
        <v>1615000</v>
      </c>
      <c r="F18" s="9">
        <f t="shared" si="3"/>
        <v>1615000</v>
      </c>
      <c r="G18" s="9">
        <f t="shared" si="3"/>
        <v>1615000</v>
      </c>
      <c r="H18" s="9">
        <f t="shared" si="3"/>
        <v>1615000</v>
      </c>
      <c r="I18" s="9">
        <f t="shared" si="3"/>
        <v>1615000</v>
      </c>
      <c r="J18" s="9">
        <f t="shared" si="3"/>
        <v>1615000</v>
      </c>
      <c r="K18" s="9">
        <f t="shared" si="3"/>
        <v>1615000</v>
      </c>
      <c r="L18" s="9">
        <f t="shared" si="3"/>
        <v>1615000</v>
      </c>
      <c r="M18" s="9">
        <f t="shared" si="0"/>
        <v>17765000</v>
      </c>
    </row>
    <row r="19" spans="1:13" x14ac:dyDescent="0.3">
      <c r="A19" t="s">
        <v>193</v>
      </c>
      <c r="B19" s="9">
        <f>+'[1]IMPUESTOS PROYECTADOS '!C9</f>
        <v>5818955.5</v>
      </c>
      <c r="C19" s="9">
        <f>+'[1]IMPUESTOS PROYECTADOS '!H9</f>
        <v>6904268.91764706</v>
      </c>
      <c r="D19" s="9">
        <f>+'[1]IMPUESTOS PROYECTADOS '!M9</f>
        <v>6994249.7176470589</v>
      </c>
      <c r="E19" s="9">
        <f>+'[1]IMPUESTOS PROYECTADOS '!R9</f>
        <v>7338063.717647058</v>
      </c>
      <c r="F19" s="9">
        <f>+'[1]IMPUESTOS PROYECTADOS '!V9</f>
        <v>8099460.3176470604</v>
      </c>
      <c r="G19" s="9">
        <f>+'[1]IMPUESTOS PROYECTADOS '!AA9</f>
        <v>7980649.8176470585</v>
      </c>
      <c r="H19" s="9">
        <f>+'[1]IMPUESTOS PROYECTADOS '!AF9</f>
        <v>8814764.41764706</v>
      </c>
      <c r="I19" s="9">
        <f>+'[1]IMPUESTOS PROYECTADOS '!AK9</f>
        <v>9905482.91764706</v>
      </c>
      <c r="J19" s="9">
        <f>+'[1]IMPUESTOS PROYECTADOS '!AP9</f>
        <v>9636004.0176470578</v>
      </c>
      <c r="K19" s="9">
        <f>+'[1]IMPUESTOS PROYECTADOS '!AU9</f>
        <v>10504541.217647059</v>
      </c>
      <c r="L19" s="9">
        <f>+'[1]IMPUESTOS PROYECTADOS '!AZ9</f>
        <v>10997612.517647058</v>
      </c>
      <c r="M19" s="9">
        <f t="shared" si="0"/>
        <v>92994053.076470599</v>
      </c>
    </row>
    <row r="20" spans="1:13" x14ac:dyDescent="0.3">
      <c r="A20" t="s">
        <v>194</v>
      </c>
      <c r="B20" s="9">
        <f>+[1]REMUNERACIONES_PPTO!D4</f>
        <v>4835636</v>
      </c>
      <c r="C20" s="9">
        <f>+[1]REMUNERACIONES_PPTO!D5</f>
        <v>4787636</v>
      </c>
      <c r="D20" s="9">
        <f>+[1]REMUNERACIONES_PPTO!D5</f>
        <v>4787636</v>
      </c>
      <c r="E20" s="9">
        <f>+[1]REMUNERACIONES_PPTO!D7</f>
        <v>4859636</v>
      </c>
      <c r="F20" s="9">
        <f>+[1]REMUNERACIONES_PPTO!D8</f>
        <v>4931636</v>
      </c>
      <c r="G20" s="9">
        <f>+[1]REMUNERACIONES_PPTO!D9</f>
        <v>4931636</v>
      </c>
      <c r="H20" s="9">
        <f>+[1]REMUNERACIONES_PPTO!D10</f>
        <v>4931636</v>
      </c>
      <c r="I20" s="9">
        <f>+[1]REMUNERACIONES_PPTO!D11</f>
        <v>4931636</v>
      </c>
      <c r="J20" s="9">
        <f>+[1]REMUNERACIONES_PPTO!D12</f>
        <v>4931636</v>
      </c>
      <c r="K20" s="9">
        <f>+[1]REMUNERACIONES_PPTO!D13</f>
        <v>4931636</v>
      </c>
      <c r="L20" s="9">
        <f>+[1]REMUNERACIONES_PPTO!D14</f>
        <v>4931636</v>
      </c>
      <c r="M20" s="9">
        <f t="shared" si="0"/>
        <v>53791996</v>
      </c>
    </row>
    <row r="21" spans="1:13" x14ac:dyDescent="0.3">
      <c r="A21" t="s">
        <v>195</v>
      </c>
      <c r="B21" s="9">
        <v>1690000</v>
      </c>
      <c r="C21" s="9">
        <v>1690000</v>
      </c>
      <c r="D21" s="9">
        <v>1690000</v>
      </c>
      <c r="E21" s="9">
        <v>1690000</v>
      </c>
      <c r="F21" s="9">
        <v>1690000</v>
      </c>
      <c r="G21" s="9">
        <v>1690000</v>
      </c>
      <c r="H21" s="9">
        <v>1690000</v>
      </c>
      <c r="I21" s="9">
        <v>1690000</v>
      </c>
      <c r="J21" s="9">
        <v>1690000</v>
      </c>
      <c r="K21" s="9">
        <v>1690000</v>
      </c>
      <c r="L21" s="9">
        <v>1690000</v>
      </c>
      <c r="M21" s="9">
        <f t="shared" si="0"/>
        <v>18590000</v>
      </c>
    </row>
    <row r="22" spans="1:13" x14ac:dyDescent="0.3">
      <c r="A22" t="s">
        <v>196</v>
      </c>
      <c r="B22" s="9">
        <v>1100000</v>
      </c>
      <c r="C22" s="9">
        <v>1400000</v>
      </c>
      <c r="D22" s="9">
        <v>1400000</v>
      </c>
      <c r="E22" s="9">
        <v>1400000</v>
      </c>
      <c r="F22" s="9">
        <v>1400000</v>
      </c>
      <c r="G22" s="9">
        <v>1400000</v>
      </c>
      <c r="H22" s="9">
        <v>1400000</v>
      </c>
      <c r="I22" s="9">
        <v>1400000</v>
      </c>
      <c r="J22" s="9">
        <v>1400000</v>
      </c>
      <c r="K22" s="9">
        <v>1400000</v>
      </c>
      <c r="L22" s="9">
        <v>1400000</v>
      </c>
      <c r="M22" s="9">
        <f t="shared" si="0"/>
        <v>15100000</v>
      </c>
    </row>
    <row r="23" spans="1:13" x14ac:dyDescent="0.3">
      <c r="A23" t="s">
        <v>197</v>
      </c>
      <c r="B23" s="9">
        <f>+'[1]TABLA CREDITO '!G6</f>
        <v>1499369</v>
      </c>
      <c r="C23" s="9">
        <f>+'[1]TABLA CREDITO '!G7</f>
        <v>1497398</v>
      </c>
      <c r="D23" s="9">
        <f>+'[1]TABLA CREDITO '!G8</f>
        <v>1496587</v>
      </c>
      <c r="E23" s="9">
        <f>+'[1]TABLA CREDITO '!G9</f>
        <v>1496277</v>
      </c>
      <c r="F23" s="9">
        <f>+'[1]TABLA CREDITO '!G10</f>
        <v>1494945</v>
      </c>
      <c r="G23" s="9">
        <f>+'[1]TABLA CREDITO '!G11</f>
        <v>1495471</v>
      </c>
      <c r="H23" s="9">
        <f>+'[1]TABLA CREDITO '!G12</f>
        <v>1492850</v>
      </c>
      <c r="I23" s="9">
        <f>+'[1]TABLA CREDITO '!G13</f>
        <v>1491623</v>
      </c>
      <c r="J23" s="9">
        <f>+'[1]TABLA CREDITO '!G14</f>
        <v>1491916</v>
      </c>
      <c r="K23" s="9">
        <f>+'[1]TABLA CREDITO '!G15</f>
        <v>1491019</v>
      </c>
      <c r="L23" s="9">
        <f>+'[1]TABLA CREDITO '!G16</f>
        <v>1489802</v>
      </c>
      <c r="M23" s="9">
        <f t="shared" si="0"/>
        <v>16437257</v>
      </c>
    </row>
    <row r="24" spans="1:13" x14ac:dyDescent="0.3">
      <c r="A24" t="s">
        <v>198</v>
      </c>
      <c r="B24" s="9">
        <v>211118</v>
      </c>
      <c r="C24" s="9">
        <f>+B24</f>
        <v>211118</v>
      </c>
      <c r="D24" s="9">
        <f>+C24</f>
        <v>211118</v>
      </c>
      <c r="E24" s="9">
        <f t="shared" ref="E24:L24" si="4">+D24</f>
        <v>211118</v>
      </c>
      <c r="F24" s="9">
        <f t="shared" si="4"/>
        <v>211118</v>
      </c>
      <c r="G24" s="9">
        <f t="shared" si="4"/>
        <v>211118</v>
      </c>
      <c r="H24" s="9">
        <f t="shared" si="4"/>
        <v>211118</v>
      </c>
      <c r="I24" s="9">
        <f t="shared" si="4"/>
        <v>211118</v>
      </c>
      <c r="J24" s="9">
        <f t="shared" si="4"/>
        <v>211118</v>
      </c>
      <c r="K24" s="9">
        <f t="shared" si="4"/>
        <v>211118</v>
      </c>
      <c r="L24" s="9">
        <f t="shared" si="4"/>
        <v>211118</v>
      </c>
      <c r="M24" s="9">
        <f t="shared" si="0"/>
        <v>2322298</v>
      </c>
    </row>
    <row r="25" spans="1:13" ht="15.6" x14ac:dyDescent="0.3">
      <c r="A25" t="s">
        <v>199</v>
      </c>
      <c r="B25" s="9"/>
      <c r="C25" s="9"/>
      <c r="D25" s="9"/>
      <c r="E25" s="9"/>
      <c r="F25" s="9"/>
      <c r="G25" s="12">
        <v>2500000</v>
      </c>
      <c r="H25" s="9"/>
      <c r="I25" s="9"/>
      <c r="J25" s="9"/>
      <c r="K25" s="9"/>
      <c r="L25" s="9"/>
      <c r="M25" s="9">
        <f t="shared" si="0"/>
        <v>2500000</v>
      </c>
    </row>
    <row r="26" spans="1:13" x14ac:dyDescent="0.3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>
        <f t="shared" si="0"/>
        <v>0</v>
      </c>
    </row>
    <row r="27" spans="1:13" ht="15.6" x14ac:dyDescent="0.3">
      <c r="A27" s="10" t="s">
        <v>200</v>
      </c>
      <c r="B27" s="11">
        <f t="shared" ref="B27:L27" si="5">SUM(B15:B26)</f>
        <v>51022306.400000006</v>
      </c>
      <c r="C27" s="11">
        <f t="shared" si="5"/>
        <v>52562775.617647067</v>
      </c>
      <c r="D27" s="11">
        <f t="shared" si="5"/>
        <v>53674574.617647059</v>
      </c>
      <c r="E27" s="11">
        <f t="shared" si="5"/>
        <v>55605834.617647067</v>
      </c>
      <c r="F27" s="11">
        <f t="shared" si="5"/>
        <v>56924462.617647059</v>
      </c>
      <c r="G27" s="11">
        <f t="shared" si="5"/>
        <v>60795403.617647052</v>
      </c>
      <c r="H27" s="11">
        <f t="shared" si="5"/>
        <v>59490930.117647067</v>
      </c>
      <c r="I27" s="11">
        <f t="shared" si="5"/>
        <v>62566055.617647067</v>
      </c>
      <c r="J27" s="11">
        <f t="shared" si="5"/>
        <v>63984658.617647052</v>
      </c>
      <c r="K27" s="11">
        <f t="shared" si="5"/>
        <v>65745834.117647059</v>
      </c>
      <c r="L27" s="11">
        <f t="shared" si="5"/>
        <v>66502439.617647052</v>
      </c>
      <c r="M27" s="11">
        <f t="shared" si="0"/>
        <v>648875275.57647061</v>
      </c>
    </row>
    <row r="28" spans="1:13" ht="15.6" x14ac:dyDescent="0.3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</row>
    <row r="29" spans="1:13" ht="15.6" x14ac:dyDescent="0.3">
      <c r="A29" s="10" t="s">
        <v>201</v>
      </c>
      <c r="B29" s="11">
        <f t="shared" ref="B29:L29" si="6">+B12-B27</f>
        <v>9857951.6000000015</v>
      </c>
      <c r="C29" s="11">
        <f t="shared" si="6"/>
        <v>-384726.61764706671</v>
      </c>
      <c r="D29" s="11">
        <f t="shared" si="6"/>
        <v>1592238.3823529407</v>
      </c>
      <c r="E29" s="11">
        <f t="shared" si="6"/>
        <v>4073498.3823529407</v>
      </c>
      <c r="F29" s="11">
        <f t="shared" si="6"/>
        <v>3416748.3823529407</v>
      </c>
      <c r="G29" s="11">
        <f t="shared" si="6"/>
        <v>4509892.3823529482</v>
      </c>
      <c r="H29" s="11">
        <f t="shared" si="6"/>
        <v>7027808.8823529333</v>
      </c>
      <c r="I29" s="11">
        <f t="shared" si="6"/>
        <v>10571463.382352933</v>
      </c>
      <c r="J29" s="11">
        <f t="shared" si="6"/>
        <v>14778823.382352948</v>
      </c>
      <c r="K29" s="11">
        <f t="shared" si="6"/>
        <v>15996098.882352941</v>
      </c>
      <c r="L29" s="11">
        <f t="shared" si="6"/>
        <v>16121997.382352948</v>
      </c>
      <c r="M29" s="8">
        <f t="shared" si="0"/>
        <v>87561794.423529416</v>
      </c>
    </row>
    <row r="30" spans="1:13" ht="15.6" x14ac:dyDescent="0.3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15.6" x14ac:dyDescent="0.3">
      <c r="A31" s="10" t="s">
        <v>202</v>
      </c>
      <c r="B31" s="11">
        <f>+B29</f>
        <v>9857951.6000000015</v>
      </c>
      <c r="C31" s="11">
        <f>+B31+C29</f>
        <v>9473224.9823529348</v>
      </c>
      <c r="D31" s="11">
        <f t="shared" ref="D31:L31" si="7">+C31+D29</f>
        <v>11065463.364705876</v>
      </c>
      <c r="E31" s="11">
        <f t="shared" si="7"/>
        <v>15138961.747058816</v>
      </c>
      <c r="F31" s="8">
        <f t="shared" si="7"/>
        <v>18555710.129411757</v>
      </c>
      <c r="G31" s="11">
        <f t="shared" si="7"/>
        <v>23065602.511764705</v>
      </c>
      <c r="H31" s="11">
        <f t="shared" si="7"/>
        <v>30093411.394117638</v>
      </c>
      <c r="I31" s="11">
        <f t="shared" si="7"/>
        <v>40664874.776470572</v>
      </c>
      <c r="J31" s="8">
        <f t="shared" si="7"/>
        <v>55443698.15882352</v>
      </c>
      <c r="K31" s="8">
        <f t="shared" si="7"/>
        <v>71439797.041176468</v>
      </c>
      <c r="L31" s="8">
        <f t="shared" si="7"/>
        <v>87561794.423529416</v>
      </c>
      <c r="M31" s="11"/>
    </row>
    <row r="35" spans="12:12" x14ac:dyDescent="0.3">
      <c r="L3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CARTOLA</vt:lpstr>
      <vt:lpstr>CRITERIOS DE CLASIFICACION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Rubilar</dc:creator>
  <cp:lastModifiedBy>Henry Rubilar</cp:lastModifiedBy>
  <dcterms:created xsi:type="dcterms:W3CDTF">2025-07-11T20:10:04Z</dcterms:created>
  <dcterms:modified xsi:type="dcterms:W3CDTF">2025-11-03T19:25:40Z</dcterms:modified>
</cp:coreProperties>
</file>